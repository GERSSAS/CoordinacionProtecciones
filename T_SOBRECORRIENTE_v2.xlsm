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Mi unidad\Proyecto Gers\"/>
    </mc:Choice>
  </mc:AlternateContent>
  <xr:revisionPtr revIDLastSave="0" documentId="13_ncr:1_{9D2BF082-438E-4700-8770-FC3A0236897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3" sheetId="1" r:id="rId1"/>
  </sheets>
  <functionGroups builtInGroupCount="19"/>
  <externalReferences>
    <externalReference r:id="rId2"/>
  </externalReferences>
  <definedNames>
    <definedName name="TABLA_RELES">[1]macro_ajustes!#REF!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6" i="1" l="1"/>
  <c r="B26" i="1"/>
  <c r="B16" i="1"/>
  <c r="D16" i="1"/>
  <c r="C16" i="1"/>
  <c r="B7" i="1"/>
  <c r="D31" i="1" l="1"/>
  <c r="C31" i="1"/>
  <c r="D21" i="1"/>
  <c r="C21" i="1"/>
  <c r="C2" i="1"/>
  <c r="D2" i="1"/>
  <c r="D26" i="1"/>
  <c r="C26" i="1"/>
  <c r="D7" i="1"/>
  <c r="D36" i="1"/>
  <c r="C36" i="1"/>
  <c r="C7" i="1"/>
  <c r="B27" i="1" l="1"/>
  <c r="B17" i="1"/>
  <c r="B8" i="1" l="1"/>
  <c r="B37" i="1"/>
</calcChain>
</file>

<file path=xl/sharedStrings.xml><?xml version="1.0" encoding="utf-8"?>
<sst xmlns="http://schemas.openxmlformats.org/spreadsheetml/2006/main" count="62" uniqueCount="17">
  <si>
    <t>CORRIENTE DE CORTO (KA)</t>
  </si>
  <si>
    <t>PICKUP (A)</t>
  </si>
  <si>
    <t>TD</t>
  </si>
  <si>
    <t>DIAL</t>
  </si>
  <si>
    <t>IEC NI</t>
  </si>
  <si>
    <t>CURVA</t>
  </si>
  <si>
    <t>LIMITE</t>
  </si>
  <si>
    <t>TIEMPO OPERACIÓN</t>
  </si>
  <si>
    <t>-</t>
  </si>
  <si>
    <t>CURVA1</t>
  </si>
  <si>
    <t>CURVA2</t>
  </si>
  <si>
    <t>CURVA3</t>
  </si>
  <si>
    <t>TIEMPO OPERACIÓNxCURVA</t>
  </si>
  <si>
    <t xml:space="preserve"> FALLA 1F 98% TERMOYUMBO-GUACHAL1</t>
  </si>
  <si>
    <t xml:space="preserve"> FALLA 1F 50% TERMOYUMBO-GUACHAL1</t>
  </si>
  <si>
    <t xml:space="preserve"> FALLA 1F 2% TERMOYUMBO-GUACHAL1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</si>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</sst>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/>
    <xf numFmtId="0" fontId="0" fillId="0" borderId="1" xfId="0" applyBorder="1"/>
    <xf numFmtId="0" fontId="2" fillId="4" borderId="1" xfId="0" applyFont="1" applyFill="1" applyBorder="1"/>
    <xf numFmtId="165" fontId="0" fillId="0" borderId="1" xfId="0" applyNumberFormat="1" applyBorder="1"/>
    <xf numFmtId="164" fontId="0" fillId="0" borderId="0" xfId="0" applyNumberFormat="1"/>
    <xf numFmtId="0" fontId="2" fillId="4" borderId="2" xfId="0" applyFont="1" applyFill="1" applyBorder="1"/>
    <xf numFmtId="164" fontId="0" fillId="0" borderId="3" xfId="0" applyNumberFormat="1" applyBorder="1"/>
    <xf numFmtId="164" fontId="2" fillId="0" borderId="4" xfId="0" applyNumberFormat="1" applyFont="1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164" fontId="2" fillId="0" borderId="6" xfId="0" applyNumberFormat="1" applyFont="1" applyBorder="1" applyAlignment="1">
      <alignment horizontal="center"/>
    </xf>
    <xf numFmtId="2" fontId="2" fillId="0" borderId="4" xfId="0" applyNumberFormat="1" applyFont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acros-Programa\NEPLAN360_AJUSTES_SOBRECORRIENTE\AJUSTES_V0.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ea"/>
      <sheetName val="trafo2"/>
      <sheetName val="trafo3"/>
      <sheetName val="Resultados CC"/>
      <sheetName val="macro_ajustes"/>
      <sheetName val="TABLA1"/>
      <sheetName val="RESUMEN_AJUSTES1"/>
      <sheetName val="RESUMEN_AJUSTES2"/>
      <sheetName val="Base 3F"/>
      <sheetName val="Base 2F"/>
      <sheetName val="Base 1F"/>
      <sheetName val="Base 2F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3"/>
  <dimension ref="A1:G37"/>
  <sheetViews>
    <sheetView tabSelected="1" workbookViewId="0">
      <selection activeCell="I10" sqref="I10"/>
    </sheetView>
  </sheetViews>
  <sheetFormatPr baseColWidth="10" defaultRowHeight="15" x14ac:dyDescent="0.25"/>
  <cols>
    <col min="1" max="1" width="26.7109375" bestFit="1" customWidth="1"/>
    <col min="2" max="2" width="12" bestFit="1" customWidth="1"/>
    <col min="6" max="6" width="11.42578125" customWidth="1"/>
  </cols>
  <sheetData>
    <row r="1" spans="1:6" x14ac:dyDescent="0.25">
      <c r="B1" s="1" t="s">
        <v>9</v>
      </c>
      <c r="C1" s="1" t="s">
        <v>10</v>
      </c>
      <c r="D1" s="1" t="s">
        <v>11</v>
      </c>
    </row>
    <row r="2" spans="1:6" x14ac:dyDescent="0.25">
      <c r="A2" s="2" t="s">
        <v>0</v>
      </c>
      <c r="B2" s="5">
        <v>5.984</v>
      </c>
      <c r="C2" s="5">
        <f>B2</f>
        <v>5.984</v>
      </c>
      <c r="D2" s="5">
        <f>B2</f>
        <v>5.984</v>
      </c>
    </row>
    <row r="3" spans="1:6" x14ac:dyDescent="0.25">
      <c r="A3" s="2" t="s">
        <v>1</v>
      </c>
      <c r="B3" s="3">
        <v>960</v>
      </c>
      <c r="C3" s="3" t="s">
        <v>8</v>
      </c>
      <c r="D3" s="3" t="s">
        <v>8</v>
      </c>
    </row>
    <row r="4" spans="1:6" x14ac:dyDescent="0.25">
      <c r="A4" s="2" t="s">
        <v>3</v>
      </c>
      <c r="B4" s="3">
        <v>0.18</v>
      </c>
      <c r="C4" s="3">
        <v>0.2</v>
      </c>
      <c r="D4" s="3">
        <v>0.1</v>
      </c>
    </row>
    <row r="5" spans="1:6" x14ac:dyDescent="0.25">
      <c r="A5" s="2" t="s">
        <v>5</v>
      </c>
      <c r="B5" s="3" t="s">
        <v>4</v>
      </c>
      <c r="C5" s="3" t="s">
        <v>2</v>
      </c>
      <c r="D5" s="3" t="s">
        <v>2</v>
      </c>
    </row>
    <row r="6" spans="1:6" x14ac:dyDescent="0.25">
      <c r="A6" s="2" t="s">
        <v>6</v>
      </c>
      <c r="B6" s="3">
        <v>20</v>
      </c>
      <c r="C6" s="3">
        <v>20</v>
      </c>
      <c r="D6" s="3">
        <v>20</v>
      </c>
    </row>
    <row r="7" spans="1:6" ht="15.75" thickBot="1" x14ac:dyDescent="0.3">
      <c r="A7" s="4" t="s">
        <v>12</v>
      </c>
      <c r="B7" s="8">
        <f>IF(TCurva(B2,B3,B4,B5,B6)=999,"-",TCurva(B2,B3,B4,B5,B6))</f>
        <v>0.6760348434728124</v>
      </c>
      <c r="C7" s="8" t="str">
        <f>IF(TCurva(C2,C3,C4,C5,C6)=999,"-",TCurva(C2,C3,C4,C5,C6))</f>
        <v>-</v>
      </c>
      <c r="D7" s="8" t="str">
        <f>IF(TCurva(D2,D3,D4,D5,D6)=999,"-",TCurva(D2,D3,D4,D5,D6))</f>
        <v>-</v>
      </c>
      <c r="E7" s="6"/>
    </row>
    <row r="8" spans="1:6" ht="15.75" thickBot="1" x14ac:dyDescent="0.3">
      <c r="A8" s="7" t="s">
        <v>7</v>
      </c>
      <c r="B8" s="9">
        <f>MIN(B7:D7)</f>
        <v>0.6760348434728124</v>
      </c>
      <c r="C8" s="10"/>
      <c r="D8" s="11"/>
    </row>
    <row r="10" spans="1:6" x14ac:dyDescent="0.25">
      <c r="B10" s="1" t="s">
        <v>9</v>
      </c>
      <c r="C10" s="1" t="s">
        <v>10</v>
      </c>
      <c r="D10" s="1" t="s">
        <v>11</v>
      </c>
      <c r="E10" t="s">
        <v>15</v>
      </c>
    </row>
    <row r="11" spans="1:6" x14ac:dyDescent="0.25">
      <c r="A11" s="2" t="s">
        <v>0</v>
      </c>
      <c r="B11" s="5">
        <v>24.748000000000001</v>
      </c>
      <c r="C11" s="5">
        <v>24.748000000000001</v>
      </c>
      <c r="D11" s="5">
        <v>24.748000000000001</v>
      </c>
    </row>
    <row r="12" spans="1:6" x14ac:dyDescent="0.25">
      <c r="A12" s="2" t="s">
        <v>1</v>
      </c>
      <c r="B12" s="3">
        <v>120</v>
      </c>
      <c r="C12" s="3">
        <v>16048</v>
      </c>
      <c r="D12" s="3" t="s">
        <v>8</v>
      </c>
    </row>
    <row r="13" spans="1:6" x14ac:dyDescent="0.25">
      <c r="A13" s="2" t="s">
        <v>3</v>
      </c>
      <c r="B13" s="3">
        <v>0.24</v>
      </c>
      <c r="C13" s="3">
        <v>0.2</v>
      </c>
      <c r="D13" s="3">
        <v>0.1</v>
      </c>
    </row>
    <row r="14" spans="1:6" x14ac:dyDescent="0.25">
      <c r="A14" s="2" t="s">
        <v>5</v>
      </c>
      <c r="B14" s="3" t="s">
        <v>4</v>
      </c>
      <c r="C14" t="s">
        <v>2</v>
      </c>
      <c r="D14" t="s">
        <v>2</v>
      </c>
      <c r="F14" t="s">
        <v>2</v>
      </c>
    </row>
    <row r="15" spans="1:6" x14ac:dyDescent="0.25">
      <c r="A15" s="2" t="s">
        <v>6</v>
      </c>
      <c r="B15" s="3">
        <v>20</v>
      </c>
      <c r="C15" s="3">
        <v>20</v>
      </c>
      <c r="D15" s="3">
        <v>20</v>
      </c>
    </row>
    <row r="16" spans="1:6" ht="15.75" thickBot="1" x14ac:dyDescent="0.3">
      <c r="A16" s="4" t="s">
        <v>12</v>
      </c>
      <c r="B16" s="8">
        <f>IF(TCurva(B11,B12,B13,B14,B15)=999,"-",TCurva(B11,B12,B13,B14,B15))</f>
        <v>0.54416552813929553</v>
      </c>
      <c r="C16" s="8">
        <f>IF(TCurva(C11,C12,C13,C14,C15)=999,"-",TCurva(C11,C12,C13,C14,C15))</f>
        <v>0.2</v>
      </c>
      <c r="D16" s="8" t="str">
        <f>IF(TCurva(D11,D12,D13,D14,D15)=999,"-",TCurva(D11,D12,D13,D14,D15))</f>
        <v>-</v>
      </c>
    </row>
    <row r="17" spans="1:5" ht="15.75" thickBot="1" x14ac:dyDescent="0.3">
      <c r="A17" s="7" t="s">
        <v>7</v>
      </c>
      <c r="B17" s="12">
        <f>MIN(B16:D16)</f>
        <v>0.2</v>
      </c>
      <c r="C17" s="13"/>
      <c r="D17" s="14"/>
    </row>
    <row r="18" spans="1:5" x14ac:dyDescent="0.25">
      <c r="E18" t="s">
        <v>16</v>
      </c>
    </row>
    <row r="20" spans="1:5" x14ac:dyDescent="0.25">
      <c r="B20" s="1" t="s">
        <v>9</v>
      </c>
      <c r="C20" s="1" t="s">
        <v>10</v>
      </c>
      <c r="D20" s="1" t="s">
        <v>11</v>
      </c>
      <c r="E20" t="s">
        <v>14</v>
      </c>
    </row>
    <row r="21" spans="1:5" x14ac:dyDescent="0.25">
      <c r="A21" s="2" t="s">
        <v>0</v>
      </c>
      <c r="B21" s="5">
        <v>5.984</v>
      </c>
      <c r="C21" s="5">
        <f>B21</f>
        <v>5.984</v>
      </c>
      <c r="D21" s="5">
        <f>B21</f>
        <v>5.984</v>
      </c>
    </row>
    <row r="22" spans="1:5" x14ac:dyDescent="0.25">
      <c r="A22" s="2" t="s">
        <v>1</v>
      </c>
      <c r="B22" s="3">
        <v>120</v>
      </c>
      <c r="C22" s="3">
        <v>16048</v>
      </c>
      <c r="D22" s="3" t="s">
        <v>8</v>
      </c>
    </row>
    <row r="23" spans="1:5" x14ac:dyDescent="0.25">
      <c r="A23" s="2" t="s">
        <v>3</v>
      </c>
      <c r="B23" s="3">
        <v>0.24</v>
      </c>
      <c r="C23" s="3">
        <v>0.2</v>
      </c>
      <c r="D23" s="3">
        <v>0.1</v>
      </c>
    </row>
    <row r="24" spans="1:5" x14ac:dyDescent="0.25">
      <c r="A24" s="2" t="s">
        <v>5</v>
      </c>
      <c r="B24" s="3" t="s">
        <v>4</v>
      </c>
      <c r="C24" s="3" t="s">
        <v>2</v>
      </c>
      <c r="D24" s="3" t="s">
        <v>2</v>
      </c>
    </row>
    <row r="25" spans="1:5" x14ac:dyDescent="0.25">
      <c r="A25" s="2" t="s">
        <v>6</v>
      </c>
      <c r="B25" s="3">
        <v>20</v>
      </c>
      <c r="C25" s="3">
        <v>20</v>
      </c>
      <c r="D25" s="3">
        <v>20</v>
      </c>
    </row>
    <row r="26" spans="1:5" ht="15.75" thickBot="1" x14ac:dyDescent="0.3">
      <c r="A26" s="4" t="s">
        <v>12</v>
      </c>
      <c r="B26" s="8">
        <f>IF(TCurva(B21,B22,B23,B24,B25)=999,"-",TCurva(B21,B22,B23,B24,B25))</f>
        <v>0.54416552813929553</v>
      </c>
      <c r="C26" s="8">
        <f>IF(TCurva(C21,C22,C23,C24,C25)=999,"-",TCurva(C21,C22,C23,C24,C25))</f>
        <v>99999</v>
      </c>
      <c r="D26" s="8" t="str">
        <f>IF(TCurva(D21,D22,D23,D24,D25)=999,"-",TCurva(D21,D22,D23,D24,D25))</f>
        <v>-</v>
      </c>
    </row>
    <row r="27" spans="1:5" ht="15.75" thickBot="1" x14ac:dyDescent="0.3">
      <c r="A27" s="7" t="s">
        <v>7</v>
      </c>
      <c r="B27" s="9">
        <f>MIN(B26:D26)</f>
        <v>0.54416552813929553</v>
      </c>
      <c r="C27" s="10"/>
      <c r="D27" s="11"/>
    </row>
    <row r="30" spans="1:5" x14ac:dyDescent="0.25">
      <c r="B30" s="1" t="s">
        <v>9</v>
      </c>
      <c r="C30" s="1" t="s">
        <v>10</v>
      </c>
      <c r="D30" s="1" t="s">
        <v>11</v>
      </c>
      <c r="E30" t="s">
        <v>13</v>
      </c>
    </row>
    <row r="31" spans="1:5" x14ac:dyDescent="0.25">
      <c r="A31" s="2" t="s">
        <v>0</v>
      </c>
      <c r="B31" s="5">
        <v>0.86399999999999999</v>
      </c>
      <c r="C31" s="5">
        <f>B31</f>
        <v>0.86399999999999999</v>
      </c>
      <c r="D31" s="5">
        <f>B31</f>
        <v>0.86399999999999999</v>
      </c>
    </row>
    <row r="32" spans="1:5" x14ac:dyDescent="0.25">
      <c r="A32" s="2" t="s">
        <v>1</v>
      </c>
      <c r="B32" s="3">
        <v>120</v>
      </c>
      <c r="C32" s="3">
        <v>16048</v>
      </c>
      <c r="D32" s="3" t="s">
        <v>8</v>
      </c>
    </row>
    <row r="33" spans="1:4" x14ac:dyDescent="0.25">
      <c r="A33" s="2" t="s">
        <v>3</v>
      </c>
      <c r="B33" s="3">
        <v>0.24</v>
      </c>
      <c r="C33" s="3">
        <v>0.2</v>
      </c>
      <c r="D33" s="3">
        <v>0.1</v>
      </c>
    </row>
    <row r="34" spans="1:4" x14ac:dyDescent="0.25">
      <c r="A34" s="2" t="s">
        <v>5</v>
      </c>
      <c r="B34" s="3" t="s">
        <v>4</v>
      </c>
      <c r="C34" s="3" t="s">
        <v>2</v>
      </c>
      <c r="D34" s="3" t="s">
        <v>2</v>
      </c>
    </row>
    <row r="35" spans="1:4" x14ac:dyDescent="0.25">
      <c r="A35" s="2" t="s">
        <v>6</v>
      </c>
      <c r="B35" s="3">
        <v>20</v>
      </c>
      <c r="C35" s="3">
        <v>20</v>
      </c>
      <c r="D35" s="3">
        <v>20</v>
      </c>
    </row>
    <row r="36" spans="1:4" ht="15.75" thickBot="1" x14ac:dyDescent="0.3">
      <c r="A36" s="4" t="s">
        <v>12</v>
      </c>
      <c r="B36" s="8">
        <f>IF(TCurva(B31,B32,B33,B34,B35)=999,"-",TCurva(B31,B32,B33,B34,B35))</f>
        <v>0.83433944359549606</v>
      </c>
      <c r="C36" s="8">
        <f>IF(TCurva(C31,C32,C33,C34,C35)=999,"-",TCurva(C31,C32,C33,C34,C35))</f>
        <v>99999</v>
      </c>
      <c r="D36" s="8" t="str">
        <f>IF(TCurva(D31,D32,D33,D34,D35)=999,"-",TCurva(D31,D32,D33,D34,D35))</f>
        <v>-</v>
      </c>
    </row>
    <row r="37" spans="1:4" ht="15.75" thickBot="1" x14ac:dyDescent="0.3">
      <c r="A37" s="7" t="s">
        <v>7</v>
      </c>
      <c r="B37" s="9">
        <f>MIN(B36:D36)</f>
        <v>0.83433944359549606</v>
      </c>
      <c r="C37" s="10"/>
      <c r="D37" s="11"/>
    </row>
  </sheetData>
  <mergeCells count="4">
    <mergeCell ref="B8:D8"/>
    <mergeCell ref="B17:D17"/>
    <mergeCell ref="B27:D27"/>
    <mergeCell ref="B37:D37"/>
  </mergeCells>
  <dataValidations count="2">
    <dataValidation type="list" allowBlank="1" showInputMessage="1" showErrorMessage="1" sqref="B5:D5" xr:uid="{46922A9C-491C-4DB2-BA7B-9880F0D4AA80}">
      <formula1>"TD,IEC NI,IEC VI,IEC EI,ANSI IEEE NI,ANSI IEEE SI,ANSI IEEE LI,ANSI IEEE MI,ANSI IEEE VI,ANSI IEEE EI,ANSI U1 MI,ANSI U2 NI,ANSI U3 VI,ANSI U4 EI,ANSI U5 STI"</formula1>
    </dataValidation>
    <dataValidation type="list" allowBlank="1" showInputMessage="1" showErrorMessage="1" sqref="B34:D34 B14 B24:D24" xr:uid="{00000000-0002-0000-0000-000000000000}">
      <formula1>#REF!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jose.vazques</dc:creator>
  <cp:lastModifiedBy>jose.vasquez</cp:lastModifiedBy>
  <dcterms:created xsi:type="dcterms:W3CDTF">2020-08-13T15:15:23Z</dcterms:created>
  <dcterms:modified xsi:type="dcterms:W3CDTF">2021-09-18T19:14:58Z</dcterms:modified>
</cp:coreProperties>
</file>