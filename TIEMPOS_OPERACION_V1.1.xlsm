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NEPLAN360\neplan_Aplicativo V1.1\"/>
    </mc:Choice>
  </mc:AlternateContent>
  <xr:revisionPtr revIDLastSave="0" documentId="13_ncr:1_{66068B9F-17E1-4D2F-975C-B85796ECFF79}" xr6:coauthVersionLast="47" xr6:coauthVersionMax="47" xr10:uidLastSave="{00000000-0000-0000-0000-000000000000}"/>
  <bookViews>
    <workbookView xWindow="-28920" yWindow="15" windowWidth="29040" windowHeight="15840" tabRatio="858" firstSheet="1" activeTab="2" xr2:uid="{00000000-000D-0000-FFFF-FFFF00000000}"/>
  </bookViews>
  <sheets>
    <sheet name="Resultados CC" sheetId="14" r:id="rId1"/>
    <sheet name="macro_ajustes" sheetId="1" r:id="rId2"/>
    <sheet name="TABLA1" sheetId="2" r:id="rId3"/>
    <sheet name="TABLA2" sheetId="24" r:id="rId4"/>
    <sheet name="RESUMEN_AJUSTES1" sheetId="4" state="hidden" r:id="rId5"/>
    <sheet name="RESUMEN_AJUSTES2" sheetId="23" state="hidden" r:id="rId6"/>
    <sheet name="Base 3F" sheetId="6" state="hidden" r:id="rId7"/>
    <sheet name="Base 1F" sheetId="20" state="hidden" r:id="rId8"/>
    <sheet name="Base 2FT" sheetId="19" state="hidden" r:id="rId9"/>
    <sheet name="Base 2F" sheetId="21" state="hidden" r:id="rId10"/>
  </sheets>
  <functionGroups builtInGroupCount="19"/>
  <definedNames>
    <definedName name="_xlnm._FilterDatabase" localSheetId="1" hidden="1">macro_ajustes!$A$1:$KZ$197</definedName>
    <definedName name="_xlnm._FilterDatabase" localSheetId="0" hidden="1">'Resultados CC'!$A$4:$S$868</definedName>
    <definedName name="_xlnm._FilterDatabase" localSheetId="4" hidden="1">RESUMEN_AJUSTES1!$C$4:$M$16</definedName>
    <definedName name="_xlnm._FilterDatabase" localSheetId="5" hidden="1">RESUMEN_AJUSTES2!$C$4:$I$5</definedName>
    <definedName name="TABLA_RELES" localSheetId="7">macro_ajustes!#REF!</definedName>
    <definedName name="TABLA_RELES" localSheetId="9">macro_ajustes!#REF!</definedName>
    <definedName name="TABLA_RELES" localSheetId="8">macro_ajustes!#REF!</definedName>
    <definedName name="TABLA_RELES" localSheetId="5">macro_ajustes!#REF!</definedName>
    <definedName name="_xlnm.Print_Titles" localSheetId="4">RESUMEN_AJUSTES1!$1:$4</definedName>
    <definedName name="_xlnm.Print_Titles" localSheetId="5">RESUMEN_AJUSTES2!$1:$4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5" i="2" l="1"/>
  <c r="AC15" i="2" s="1"/>
  <c r="AF15" i="2"/>
  <c r="AG15" i="2" s="1"/>
  <c r="AJ15" i="2"/>
  <c r="AM15" i="2" s="1"/>
  <c r="AN15" i="2"/>
  <c r="AO15" i="2" s="1"/>
  <c r="AR15" i="2"/>
  <c r="AS15" i="2" s="1"/>
  <c r="AV15" i="2"/>
  <c r="AW15" i="2" s="1"/>
  <c r="AB16" i="2"/>
  <c r="AC16" i="2" s="1"/>
  <c r="AF16" i="2"/>
  <c r="AG16" i="2" s="1"/>
  <c r="AJ16" i="2"/>
  <c r="AK16" i="2" s="1"/>
  <c r="AN16" i="2"/>
  <c r="AO16" i="2" s="1"/>
  <c r="AR16" i="2"/>
  <c r="AU16" i="2" s="1"/>
  <c r="AV16" i="2"/>
  <c r="AW16" i="2" s="1"/>
  <c r="AB17" i="2"/>
  <c r="AC17" i="2" s="1"/>
  <c r="AF17" i="2"/>
  <c r="AG17" i="2" s="1"/>
  <c r="AJ17" i="2"/>
  <c r="AK17" i="2" s="1"/>
  <c r="AN17" i="2"/>
  <c r="AO17" i="2" s="1"/>
  <c r="AR17" i="2"/>
  <c r="AU17" i="2" s="1"/>
  <c r="AV17" i="2"/>
  <c r="AW17" i="2" s="1"/>
  <c r="AB18" i="2"/>
  <c r="AE18" i="2" s="1"/>
  <c r="AF18" i="2"/>
  <c r="AG18" i="2" s="1"/>
  <c r="AJ18" i="2"/>
  <c r="AK18" i="2" s="1"/>
  <c r="AN18" i="2"/>
  <c r="AO18" i="2" s="1"/>
  <c r="AR18" i="2"/>
  <c r="AS18" i="2" s="1"/>
  <c r="AV18" i="2"/>
  <c r="AW18" i="2" s="1"/>
  <c r="AB19" i="2"/>
  <c r="AE19" i="2" s="1"/>
  <c r="AF19" i="2"/>
  <c r="AG19" i="2" s="1"/>
  <c r="AJ19" i="2"/>
  <c r="AM19" i="2" s="1"/>
  <c r="AN19" i="2"/>
  <c r="AO19" i="2" s="1"/>
  <c r="AQ19" i="2"/>
  <c r="AR19" i="2"/>
  <c r="AU19" i="2" s="1"/>
  <c r="AV19" i="2"/>
  <c r="AW19" i="2" s="1"/>
  <c r="AB20" i="2"/>
  <c r="AE20" i="2" s="1"/>
  <c r="AC20" i="2"/>
  <c r="AF20" i="2"/>
  <c r="AG20" i="2" s="1"/>
  <c r="AJ20" i="2"/>
  <c r="AM20" i="2" s="1"/>
  <c r="AK20" i="2"/>
  <c r="AN20" i="2"/>
  <c r="AO20" i="2" s="1"/>
  <c r="AR20" i="2"/>
  <c r="AU20" i="2" s="1"/>
  <c r="AS20" i="2"/>
  <c r="AV20" i="2"/>
  <c r="AW20" i="2" s="1"/>
  <c r="AY20" i="2"/>
  <c r="AB21" i="2"/>
  <c r="AE21" i="2" s="1"/>
  <c r="AC21" i="2"/>
  <c r="AF21" i="2"/>
  <c r="AG21" i="2" s="1"/>
  <c r="AJ21" i="2"/>
  <c r="AK21" i="2" s="1"/>
  <c r="AN21" i="2"/>
  <c r="AO21" i="2" s="1"/>
  <c r="AR21" i="2"/>
  <c r="AU21" i="2" s="1"/>
  <c r="AS21" i="2"/>
  <c r="AV21" i="2"/>
  <c r="AW21" i="2" s="1"/>
  <c r="AB22" i="2"/>
  <c r="AE22" i="2" s="1"/>
  <c r="AF22" i="2"/>
  <c r="AG22" i="2" s="1"/>
  <c r="AJ22" i="2"/>
  <c r="AM22" i="2" s="1"/>
  <c r="AN22" i="2"/>
  <c r="AO22" i="2" s="1"/>
  <c r="AR22" i="2"/>
  <c r="AS22" i="2"/>
  <c r="AU22" i="2"/>
  <c r="AV22" i="2"/>
  <c r="AW22" i="2" s="1"/>
  <c r="AB23" i="2"/>
  <c r="AE23" i="2" s="1"/>
  <c r="AC23" i="2"/>
  <c r="AF23" i="2"/>
  <c r="AG23" i="2" s="1"/>
  <c r="AI23" i="2"/>
  <c r="AJ23" i="2"/>
  <c r="AM23" i="2" s="1"/>
  <c r="AK23" i="2"/>
  <c r="AN23" i="2"/>
  <c r="AO23" i="2" s="1"/>
  <c r="AR23" i="2"/>
  <c r="AU23" i="2" s="1"/>
  <c r="AS23" i="2"/>
  <c r="AV23" i="2"/>
  <c r="AW23" i="2" s="1"/>
  <c r="AB24" i="2"/>
  <c r="AC24" i="2" s="1"/>
  <c r="AE24" i="2"/>
  <c r="AF24" i="2"/>
  <c r="AG24" i="2" s="1"/>
  <c r="AJ24" i="2"/>
  <c r="AM24" i="2" s="1"/>
  <c r="AN24" i="2"/>
  <c r="AO24" i="2" s="1"/>
  <c r="AQ24" i="2"/>
  <c r="AR24" i="2"/>
  <c r="AU24" i="2" s="1"/>
  <c r="AV24" i="2"/>
  <c r="AW24" i="2" s="1"/>
  <c r="AB25" i="2"/>
  <c r="AE25" i="2" s="1"/>
  <c r="AF25" i="2"/>
  <c r="AG25" i="2" s="1"/>
  <c r="AJ25" i="2"/>
  <c r="AM25" i="2" s="1"/>
  <c r="AK25" i="2"/>
  <c r="AN25" i="2"/>
  <c r="AO25" i="2" s="1"/>
  <c r="AR25" i="2"/>
  <c r="AU25" i="2" s="1"/>
  <c r="AS25" i="2"/>
  <c r="AV25" i="2"/>
  <c r="AW25" i="2" s="1"/>
  <c r="AY25" i="2"/>
  <c r="AB26" i="2"/>
  <c r="AE26" i="2" s="1"/>
  <c r="AC26" i="2"/>
  <c r="AF26" i="2"/>
  <c r="AG26" i="2" s="1"/>
  <c r="AJ26" i="2"/>
  <c r="AM26" i="2" s="1"/>
  <c r="AK26" i="2"/>
  <c r="AN26" i="2"/>
  <c r="AO26" i="2" s="1"/>
  <c r="AR26" i="2"/>
  <c r="AS26" i="2"/>
  <c r="AU26" i="2"/>
  <c r="AV26" i="2"/>
  <c r="AW26" i="2" s="1"/>
  <c r="AB27" i="2"/>
  <c r="AE27" i="2" s="1"/>
  <c r="AF27" i="2"/>
  <c r="AG27" i="2" s="1"/>
  <c r="AJ27" i="2"/>
  <c r="AM27" i="2" s="1"/>
  <c r="AN27" i="2"/>
  <c r="AO27" i="2" s="1"/>
  <c r="AR27" i="2"/>
  <c r="AU27" i="2" s="1"/>
  <c r="AV27" i="2"/>
  <c r="AW27" i="2" s="1"/>
  <c r="AB28" i="2"/>
  <c r="AC28" i="2" s="1"/>
  <c r="AE28" i="2"/>
  <c r="AF28" i="2"/>
  <c r="AG28" i="2" s="1"/>
  <c r="AJ28" i="2"/>
  <c r="AM28" i="2" s="1"/>
  <c r="AK28" i="2"/>
  <c r="AN28" i="2"/>
  <c r="AO28" i="2" s="1"/>
  <c r="AQ28" i="2"/>
  <c r="AR28" i="2"/>
  <c r="AU28" i="2" s="1"/>
  <c r="AV28" i="2"/>
  <c r="AW28" i="2" s="1"/>
  <c r="AY28" i="2"/>
  <c r="AB29" i="2"/>
  <c r="AE29" i="2" s="1"/>
  <c r="AC29" i="2"/>
  <c r="AF29" i="2"/>
  <c r="AG29" i="2" s="1"/>
  <c r="AJ29" i="2"/>
  <c r="AK29" i="2"/>
  <c r="AM29" i="2"/>
  <c r="AN29" i="2"/>
  <c r="AO29" i="2" s="1"/>
  <c r="AR29" i="2"/>
  <c r="AU29" i="2" s="1"/>
  <c r="AV29" i="2"/>
  <c r="AW29" i="2" s="1"/>
  <c r="AY29" i="2"/>
  <c r="AB30" i="2"/>
  <c r="AE30" i="2" s="1"/>
  <c r="AC30" i="2"/>
  <c r="AF30" i="2"/>
  <c r="AG30" i="2" s="1"/>
  <c r="AI30" i="2"/>
  <c r="AJ30" i="2"/>
  <c r="AM30" i="2" s="1"/>
  <c r="AN30" i="2"/>
  <c r="AO30" i="2" s="1"/>
  <c r="AR30" i="2"/>
  <c r="AS30" i="2"/>
  <c r="AU30" i="2"/>
  <c r="AV30" i="2"/>
  <c r="AW30" i="2" s="1"/>
  <c r="AB31" i="2"/>
  <c r="AE31" i="2" s="1"/>
  <c r="AC31" i="2"/>
  <c r="AF31" i="2"/>
  <c r="AG31" i="2" s="1"/>
  <c r="AI31" i="2"/>
  <c r="AJ31" i="2"/>
  <c r="AM31" i="2" s="1"/>
  <c r="AK31" i="2"/>
  <c r="AN31" i="2"/>
  <c r="AO31" i="2" s="1"/>
  <c r="AR31" i="2"/>
  <c r="AU31" i="2" s="1"/>
  <c r="AS31" i="2"/>
  <c r="AV31" i="2"/>
  <c r="AW31" i="2" s="1"/>
  <c r="AB32" i="2"/>
  <c r="AC32" i="2"/>
  <c r="AE32" i="2"/>
  <c r="AF32" i="2"/>
  <c r="AG32" i="2" s="1"/>
  <c r="AJ32" i="2"/>
  <c r="AM32" i="2" s="1"/>
  <c r="AK32" i="2"/>
  <c r="AN32" i="2"/>
  <c r="AO32" i="2" s="1"/>
  <c r="AR32" i="2"/>
  <c r="AU32" i="2" s="1"/>
  <c r="AS32" i="2"/>
  <c r="AV32" i="2"/>
  <c r="AW32" i="2" s="1"/>
  <c r="AY32" i="2"/>
  <c r="AB33" i="2"/>
  <c r="AE33" i="2" s="1"/>
  <c r="AC33" i="2"/>
  <c r="AF33" i="2"/>
  <c r="AG33" i="2" s="1"/>
  <c r="AJ33" i="2"/>
  <c r="AK33" i="2"/>
  <c r="AM33" i="2"/>
  <c r="AN33" i="2"/>
  <c r="AO33" i="2" s="1"/>
  <c r="AR33" i="2"/>
  <c r="AS33" i="2" s="1"/>
  <c r="AU33" i="2"/>
  <c r="AV33" i="2"/>
  <c r="AW33" i="2" s="1"/>
  <c r="AB34" i="2"/>
  <c r="AE34" i="2" s="1"/>
  <c r="AC34" i="2"/>
  <c r="AF34" i="2"/>
  <c r="AG34" i="2" s="1"/>
  <c r="AI34" i="2"/>
  <c r="AJ34" i="2"/>
  <c r="AM34" i="2" s="1"/>
  <c r="AK34" i="2"/>
  <c r="AN34" i="2"/>
  <c r="AO34" i="2" s="1"/>
  <c r="AR34" i="2"/>
  <c r="AS34" i="2"/>
  <c r="AU34" i="2"/>
  <c r="AV34" i="2"/>
  <c r="AW34" i="2" s="1"/>
  <c r="AB35" i="2"/>
  <c r="AC35" i="2" s="1"/>
  <c r="AE35" i="2"/>
  <c r="AF35" i="2"/>
  <c r="AG35" i="2" s="1"/>
  <c r="AJ35" i="2"/>
  <c r="AM35" i="2" s="1"/>
  <c r="AK35" i="2"/>
  <c r="AN35" i="2"/>
  <c r="AO35" i="2" s="1"/>
  <c r="AQ35" i="2"/>
  <c r="AR35" i="2"/>
  <c r="AU35" i="2" s="1"/>
  <c r="AS35" i="2"/>
  <c r="AV35" i="2"/>
  <c r="AW35" i="2" s="1"/>
  <c r="AB36" i="2"/>
  <c r="AC36" i="2"/>
  <c r="AE36" i="2"/>
  <c r="AF36" i="2"/>
  <c r="AG36" i="2" s="1"/>
  <c r="AJ36" i="2"/>
  <c r="AK36" i="2" s="1"/>
  <c r="AM36" i="2"/>
  <c r="AN36" i="2"/>
  <c r="AO36" i="2" s="1"/>
  <c r="AR36" i="2"/>
  <c r="AU36" i="2" s="1"/>
  <c r="AS36" i="2"/>
  <c r="AV36" i="2"/>
  <c r="AW36" i="2" s="1"/>
  <c r="AY36" i="2"/>
  <c r="AB37" i="2"/>
  <c r="AE37" i="2" s="1"/>
  <c r="AC37" i="2"/>
  <c r="AF37" i="2"/>
  <c r="AG37" i="2" s="1"/>
  <c r="AJ37" i="2"/>
  <c r="AK37" i="2"/>
  <c r="AM37" i="2"/>
  <c r="AN37" i="2"/>
  <c r="AO37" i="2" s="1"/>
  <c r="AR37" i="2"/>
  <c r="AS37" i="2" s="1"/>
  <c r="AU37" i="2"/>
  <c r="AV37" i="2"/>
  <c r="AW37" i="2" s="1"/>
  <c r="AB38" i="2"/>
  <c r="AE38" i="2" s="1"/>
  <c r="AC38" i="2"/>
  <c r="AF38" i="2"/>
  <c r="AG38" i="2" s="1"/>
  <c r="AI38" i="2"/>
  <c r="AJ38" i="2"/>
  <c r="AM38" i="2" s="1"/>
  <c r="AK38" i="2"/>
  <c r="AN38" i="2"/>
  <c r="AO38" i="2" s="1"/>
  <c r="AR38" i="2"/>
  <c r="AS38" i="2"/>
  <c r="AU38" i="2"/>
  <c r="AV38" i="2"/>
  <c r="AW38" i="2" s="1"/>
  <c r="AB39" i="2"/>
  <c r="AC39" i="2" s="1"/>
  <c r="AE39" i="2"/>
  <c r="AF39" i="2"/>
  <c r="AG39" i="2" s="1"/>
  <c r="AJ39" i="2"/>
  <c r="AM39" i="2" s="1"/>
  <c r="AK39" i="2"/>
  <c r="AN39" i="2"/>
  <c r="AO39" i="2" s="1"/>
  <c r="AQ39" i="2"/>
  <c r="AR39" i="2"/>
  <c r="AU39" i="2" s="1"/>
  <c r="AS39" i="2"/>
  <c r="AV39" i="2"/>
  <c r="AW39" i="2" s="1"/>
  <c r="AB40" i="2"/>
  <c r="AC40" i="2"/>
  <c r="AE40" i="2"/>
  <c r="AF40" i="2"/>
  <c r="AG40" i="2" s="1"/>
  <c r="AJ40" i="2"/>
  <c r="AK40" i="2" s="1"/>
  <c r="AM40" i="2"/>
  <c r="AN40" i="2"/>
  <c r="AO40" i="2" s="1"/>
  <c r="AR40" i="2"/>
  <c r="AU40" i="2" s="1"/>
  <c r="AS40" i="2"/>
  <c r="AV40" i="2"/>
  <c r="AW40" i="2" s="1"/>
  <c r="AY40" i="2"/>
  <c r="AB41" i="2"/>
  <c r="AE41" i="2" s="1"/>
  <c r="AC41" i="2"/>
  <c r="AF41" i="2"/>
  <c r="AG41" i="2" s="1"/>
  <c r="AJ41" i="2"/>
  <c r="AK41" i="2"/>
  <c r="AM41" i="2"/>
  <c r="AN41" i="2"/>
  <c r="AO41" i="2" s="1"/>
  <c r="AR41" i="2"/>
  <c r="AS41" i="2" s="1"/>
  <c r="AU41" i="2"/>
  <c r="AV41" i="2"/>
  <c r="AW41" i="2" s="1"/>
  <c r="AB42" i="2"/>
  <c r="AE42" i="2" s="1"/>
  <c r="AC42" i="2"/>
  <c r="AF42" i="2"/>
  <c r="AG42" i="2" s="1"/>
  <c r="AI42" i="2"/>
  <c r="AJ42" i="2"/>
  <c r="AM42" i="2" s="1"/>
  <c r="AK42" i="2"/>
  <c r="AN42" i="2"/>
  <c r="AO42" i="2" s="1"/>
  <c r="AR42" i="2"/>
  <c r="AS42" i="2"/>
  <c r="AU42" i="2"/>
  <c r="AV42" i="2"/>
  <c r="AW42" i="2" s="1"/>
  <c r="AB43" i="2"/>
  <c r="AC43" i="2"/>
  <c r="AE43" i="2"/>
  <c r="AF43" i="2"/>
  <c r="AG43" i="2" s="1"/>
  <c r="AJ43" i="2"/>
  <c r="AM43" i="2" s="1"/>
  <c r="AK43" i="2"/>
  <c r="AN43" i="2"/>
  <c r="AO43" i="2" s="1"/>
  <c r="AQ43" i="2"/>
  <c r="AR43" i="2"/>
  <c r="AU43" i="2" s="1"/>
  <c r="AS43" i="2"/>
  <c r="AV43" i="2"/>
  <c r="AW43" i="2" s="1"/>
  <c r="AB44" i="2"/>
  <c r="AC44" i="2"/>
  <c r="AE44" i="2"/>
  <c r="AF44" i="2"/>
  <c r="AG44" i="2" s="1"/>
  <c r="AJ44" i="2"/>
  <c r="AK44" i="2"/>
  <c r="AM44" i="2"/>
  <c r="AN44" i="2"/>
  <c r="AO44" i="2" s="1"/>
  <c r="AR44" i="2"/>
  <c r="AU44" i="2" s="1"/>
  <c r="AS44" i="2"/>
  <c r="AV44" i="2"/>
  <c r="AW44" i="2" s="1"/>
  <c r="AY44" i="2"/>
  <c r="AB45" i="2"/>
  <c r="AE45" i="2" s="1"/>
  <c r="AC45" i="2"/>
  <c r="AF45" i="2"/>
  <c r="AG45" i="2" s="1"/>
  <c r="AJ45" i="2"/>
  <c r="AK45" i="2"/>
  <c r="AM45" i="2"/>
  <c r="AN45" i="2"/>
  <c r="AO45" i="2" s="1"/>
  <c r="AR45" i="2"/>
  <c r="AS45" i="2"/>
  <c r="AU45" i="2"/>
  <c r="AV45" i="2"/>
  <c r="AW45" i="2" s="1"/>
  <c r="AB46" i="2"/>
  <c r="AE46" i="2" s="1"/>
  <c r="AC46" i="2"/>
  <c r="AF46" i="2"/>
  <c r="AG46" i="2" s="1"/>
  <c r="AI46" i="2"/>
  <c r="AJ46" i="2"/>
  <c r="AM46" i="2" s="1"/>
  <c r="AK46" i="2"/>
  <c r="AN46" i="2"/>
  <c r="AO46" i="2" s="1"/>
  <c r="AR46" i="2"/>
  <c r="AS46" i="2"/>
  <c r="AU46" i="2"/>
  <c r="AV46" i="2"/>
  <c r="AW46" i="2" s="1"/>
  <c r="AY46" i="2"/>
  <c r="AB47" i="2"/>
  <c r="AC47" i="2"/>
  <c r="AE47" i="2"/>
  <c r="AF47" i="2"/>
  <c r="AG47" i="2" s="1"/>
  <c r="AI47" i="2"/>
  <c r="AJ47" i="2"/>
  <c r="AM47" i="2" s="1"/>
  <c r="AK47" i="2"/>
  <c r="AN47" i="2"/>
  <c r="AO47" i="2" s="1"/>
  <c r="AQ47" i="2"/>
  <c r="AR47" i="2"/>
  <c r="AU47" i="2" s="1"/>
  <c r="AS47" i="2"/>
  <c r="AV47" i="2"/>
  <c r="AW47" i="2" s="1"/>
  <c r="AB48" i="2"/>
  <c r="AC48" i="2"/>
  <c r="AE48" i="2"/>
  <c r="AF48" i="2"/>
  <c r="AG48" i="2" s="1"/>
  <c r="AI48" i="2"/>
  <c r="AJ48" i="2"/>
  <c r="AM48" i="2" s="1"/>
  <c r="AK48" i="2"/>
  <c r="AN48" i="2"/>
  <c r="AO48" i="2" s="1"/>
  <c r="AQ48" i="2"/>
  <c r="AR48" i="2"/>
  <c r="AU48" i="2" s="1"/>
  <c r="AS48" i="2"/>
  <c r="AV48" i="2"/>
  <c r="AW48" i="2" s="1"/>
  <c r="AY48" i="2"/>
  <c r="AB49" i="2"/>
  <c r="AE49" i="2" s="1"/>
  <c r="AF49" i="2"/>
  <c r="AG49" i="2" s="1"/>
  <c r="AJ49" i="2"/>
  <c r="AK49" i="2"/>
  <c r="AM49" i="2"/>
  <c r="AN49" i="2"/>
  <c r="AO49" i="2" s="1"/>
  <c r="AQ49" i="2"/>
  <c r="AR49" i="2"/>
  <c r="AS49" i="2" s="1"/>
  <c r="AV49" i="2"/>
  <c r="AW49" i="2" s="1"/>
  <c r="AY49" i="2"/>
  <c r="AB50" i="2"/>
  <c r="AE50" i="2" s="1"/>
  <c r="AC50" i="2"/>
  <c r="AF50" i="2"/>
  <c r="AG50" i="2" s="1"/>
  <c r="AI50" i="2"/>
  <c r="AJ50" i="2"/>
  <c r="AM50" i="2" s="1"/>
  <c r="AK50" i="2"/>
  <c r="AN50" i="2"/>
  <c r="AO50" i="2" s="1"/>
  <c r="AR50" i="2"/>
  <c r="AS50" i="2"/>
  <c r="AU50" i="2"/>
  <c r="AV50" i="2"/>
  <c r="AW50" i="2" s="1"/>
  <c r="AY50" i="2"/>
  <c r="AB51" i="2"/>
  <c r="AC51" i="2"/>
  <c r="AE51" i="2"/>
  <c r="AF51" i="2"/>
  <c r="AG51" i="2" s="1"/>
  <c r="AI51" i="2"/>
  <c r="AJ51" i="2"/>
  <c r="AM51" i="2" s="1"/>
  <c r="AK51" i="2"/>
  <c r="AN51" i="2"/>
  <c r="AO51" i="2" s="1"/>
  <c r="AR51" i="2"/>
  <c r="AU51" i="2" s="1"/>
  <c r="AS51" i="2"/>
  <c r="AV51" i="2"/>
  <c r="AW51" i="2" s="1"/>
  <c r="AB52" i="2"/>
  <c r="AC52" i="2"/>
  <c r="AE52" i="2"/>
  <c r="AF52" i="2"/>
  <c r="AG52" i="2" s="1"/>
  <c r="AJ52" i="2"/>
  <c r="AK52" i="2"/>
  <c r="AM52" i="2"/>
  <c r="AN52" i="2"/>
  <c r="AO52" i="2" s="1"/>
  <c r="AQ52" i="2"/>
  <c r="AR52" i="2"/>
  <c r="AU52" i="2" s="1"/>
  <c r="AS52" i="2"/>
  <c r="AV52" i="2"/>
  <c r="AW52" i="2" s="1"/>
  <c r="AY52" i="2"/>
  <c r="AB53" i="2"/>
  <c r="AE53" i="2" s="1"/>
  <c r="AC53" i="2"/>
  <c r="AF53" i="2"/>
  <c r="AG53" i="2" s="1"/>
  <c r="AJ53" i="2"/>
  <c r="AK53" i="2"/>
  <c r="AM53" i="2"/>
  <c r="AN53" i="2"/>
  <c r="AO53" i="2" s="1"/>
  <c r="AQ53" i="2"/>
  <c r="AR53" i="2"/>
  <c r="AS53" i="2"/>
  <c r="AU53" i="2"/>
  <c r="AV53" i="2"/>
  <c r="AW53" i="2" s="1"/>
  <c r="AY53" i="2"/>
  <c r="AB54" i="2"/>
  <c r="AE54" i="2" s="1"/>
  <c r="AF54" i="2"/>
  <c r="AG54" i="2" s="1"/>
  <c r="AI54" i="2"/>
  <c r="AJ54" i="2"/>
  <c r="AM54" i="2" s="1"/>
  <c r="AK54" i="2"/>
  <c r="AN54" i="2"/>
  <c r="AO54" i="2" s="1"/>
  <c r="AR54" i="2"/>
  <c r="AU54" i="2" s="1"/>
  <c r="AS54" i="2"/>
  <c r="AV54" i="2"/>
  <c r="AW54" i="2" s="1"/>
  <c r="AY54" i="2"/>
  <c r="AB55" i="2"/>
  <c r="AC55" i="2"/>
  <c r="AE55" i="2"/>
  <c r="AF55" i="2"/>
  <c r="AG55" i="2" s="1"/>
  <c r="AI55" i="2"/>
  <c r="AJ55" i="2"/>
  <c r="AM55" i="2" s="1"/>
  <c r="AK55" i="2"/>
  <c r="AN55" i="2"/>
  <c r="AO55" i="2" s="1"/>
  <c r="AQ55" i="2"/>
  <c r="AR55" i="2"/>
  <c r="AU55" i="2" s="1"/>
  <c r="AS55" i="2"/>
  <c r="AV55" i="2"/>
  <c r="AW55" i="2" s="1"/>
  <c r="AB56" i="2"/>
  <c r="AC56" i="2" s="1"/>
  <c r="AF56" i="2"/>
  <c r="AG56" i="2" s="1"/>
  <c r="AI56" i="2"/>
  <c r="AJ56" i="2"/>
  <c r="AK56" i="2"/>
  <c r="AM56" i="2"/>
  <c r="AN56" i="2"/>
  <c r="AO56" i="2" s="1"/>
  <c r="AR56" i="2"/>
  <c r="AU56" i="2" s="1"/>
  <c r="AS56" i="2"/>
  <c r="AV56" i="2"/>
  <c r="AW56" i="2" s="1"/>
  <c r="AY56" i="2"/>
  <c r="AB57" i="2"/>
  <c r="AE57" i="2" s="1"/>
  <c r="AC57" i="2"/>
  <c r="AF57" i="2"/>
  <c r="AG57" i="2" s="1"/>
  <c r="AJ57" i="2"/>
  <c r="AK57" i="2"/>
  <c r="AM57" i="2"/>
  <c r="AN57" i="2"/>
  <c r="AO57" i="2" s="1"/>
  <c r="AQ57" i="2"/>
  <c r="AR57" i="2"/>
  <c r="AS57" i="2"/>
  <c r="AU57" i="2"/>
  <c r="AV57" i="2"/>
  <c r="AW57" i="2" s="1"/>
  <c r="AY57" i="2"/>
  <c r="AB14" i="2"/>
  <c r="AF14" i="2"/>
  <c r="AV14" i="2"/>
  <c r="AE56" i="2" l="1"/>
  <c r="AU49" i="2"/>
  <c r="AQ56" i="2"/>
  <c r="AC54" i="2"/>
  <c r="AI52" i="2"/>
  <c r="AQ51" i="2"/>
  <c r="AC49" i="2"/>
  <c r="AY45" i="2"/>
  <c r="AQ44" i="2"/>
  <c r="AI43" i="2"/>
  <c r="AY41" i="2"/>
  <c r="AQ40" i="2"/>
  <c r="AI39" i="2"/>
  <c r="AY37" i="2"/>
  <c r="AQ36" i="2"/>
  <c r="AI35" i="2"/>
  <c r="AY33" i="2"/>
  <c r="AQ32" i="2"/>
  <c r="AK30" i="2"/>
  <c r="AS29" i="2"/>
  <c r="AK27" i="2"/>
  <c r="AK22" i="2"/>
  <c r="AQ20" i="2"/>
  <c r="AQ31" i="2"/>
  <c r="AS28" i="2"/>
  <c r="AI26" i="2"/>
  <c r="AQ23" i="2"/>
  <c r="AQ27" i="2"/>
  <c r="AS24" i="2"/>
  <c r="AY21" i="2"/>
  <c r="AS19" i="2"/>
  <c r="AC19" i="2"/>
  <c r="AI27" i="2"/>
  <c r="AC25" i="2"/>
  <c r="AK24" i="2"/>
  <c r="AI22" i="2"/>
  <c r="AK19" i="2"/>
  <c r="AM21" i="2"/>
  <c r="AS27" i="2"/>
  <c r="AC27" i="2"/>
  <c r="AY24" i="2"/>
  <c r="AC22" i="2"/>
  <c r="AI19" i="2"/>
  <c r="AU18" i="2"/>
  <c r="AM18" i="2"/>
  <c r="AI18" i="2"/>
  <c r="AC18" i="2"/>
  <c r="AS17" i="2"/>
  <c r="AY17" i="2"/>
  <c r="AM17" i="2"/>
  <c r="AE17" i="2"/>
  <c r="AQ16" i="2"/>
  <c r="AY16" i="2"/>
  <c r="AS16" i="2"/>
  <c r="AE16" i="2"/>
  <c r="AI15" i="2"/>
  <c r="AK15" i="2"/>
  <c r="AU15" i="2"/>
  <c r="AQ15" i="2"/>
  <c r="AQ45" i="2"/>
  <c r="AI44" i="2"/>
  <c r="AY42" i="2"/>
  <c r="AQ41" i="2"/>
  <c r="AI40" i="2"/>
  <c r="AY38" i="2"/>
  <c r="AQ37" i="2"/>
  <c r="AI36" i="2"/>
  <c r="AY34" i="2"/>
  <c r="AQ33" i="2"/>
  <c r="AI32" i="2"/>
  <c r="AY30" i="2"/>
  <c r="AQ29" i="2"/>
  <c r="AI28" i="2"/>
  <c r="AY26" i="2"/>
  <c r="AQ25" i="2"/>
  <c r="AI24" i="2"/>
  <c r="AY22" i="2"/>
  <c r="AQ21" i="2"/>
  <c r="AI20" i="2"/>
  <c r="AY18" i="2"/>
  <c r="AQ17" i="2"/>
  <c r="AI16" i="2"/>
  <c r="AM16" i="2"/>
  <c r="AE15" i="2"/>
  <c r="AI57" i="2"/>
  <c r="AY55" i="2"/>
  <c r="AQ54" i="2"/>
  <c r="AI53" i="2"/>
  <c r="AY51" i="2"/>
  <c r="AQ50" i="2"/>
  <c r="AI49" i="2"/>
  <c r="AY47" i="2"/>
  <c r="AI41" i="2"/>
  <c r="AY39" i="2"/>
  <c r="AQ38" i="2"/>
  <c r="AI37" i="2"/>
  <c r="AY35" i="2"/>
  <c r="AQ34" i="2"/>
  <c r="AI33" i="2"/>
  <c r="AY31" i="2"/>
  <c r="AQ30" i="2"/>
  <c r="AI29" i="2"/>
  <c r="AY27" i="2"/>
  <c r="AQ26" i="2"/>
  <c r="AI25" i="2"/>
  <c r="AY23" i="2"/>
  <c r="AQ22" i="2"/>
  <c r="AI21" i="2"/>
  <c r="AY19" i="2"/>
  <c r="AQ18" i="2"/>
  <c r="AI17" i="2"/>
  <c r="AY15" i="2"/>
  <c r="AQ46" i="2"/>
  <c r="AI45" i="2"/>
  <c r="AY43" i="2"/>
  <c r="AQ42" i="2"/>
  <c r="B161" i="23"/>
  <c r="B155" i="23"/>
  <c r="B149" i="23"/>
  <c r="B143" i="23"/>
  <c r="B137" i="23"/>
  <c r="B131" i="23"/>
  <c r="B125" i="23"/>
  <c r="B119" i="23"/>
  <c r="B113" i="23"/>
  <c r="B107" i="23"/>
  <c r="B101" i="23"/>
  <c r="B95" i="23"/>
  <c r="B89" i="23"/>
  <c r="B83" i="23"/>
  <c r="B77" i="23"/>
  <c r="B71" i="23"/>
  <c r="B65" i="23"/>
  <c r="B59" i="23"/>
  <c r="B53" i="23"/>
  <c r="B47" i="23"/>
  <c r="B41" i="23"/>
  <c r="B35" i="23"/>
  <c r="AC1" i="20" l="1"/>
  <c r="AC10" i="20" s="1"/>
  <c r="AI10" i="20" s="1"/>
  <c r="D6" i="21"/>
  <c r="Y1" i="21"/>
  <c r="Y10" i="21" s="1"/>
  <c r="S1" i="21"/>
  <c r="S10" i="21" s="1"/>
  <c r="W10" i="21" s="1"/>
  <c r="M1" i="21"/>
  <c r="M10" i="21" s="1"/>
  <c r="D1" i="21"/>
  <c r="D10" i="21" s="1"/>
  <c r="D6" i="6"/>
  <c r="D6" i="20"/>
  <c r="D6" i="19"/>
  <c r="AC7" i="20" l="1"/>
  <c r="M7" i="21"/>
  <c r="D7" i="21"/>
  <c r="S7" i="21"/>
  <c r="Q10" i="21"/>
  <c r="P10" i="21"/>
  <c r="AC10" i="21"/>
  <c r="AB10" i="21"/>
  <c r="K10" i="21"/>
  <c r="J10" i="21"/>
  <c r="G10" i="21"/>
  <c r="Y7" i="21"/>
  <c r="V10" i="21"/>
  <c r="AE1" i="19"/>
  <c r="V1" i="19"/>
  <c r="M1" i="19"/>
  <c r="D1" i="19"/>
  <c r="U1" i="20"/>
  <c r="L1" i="20"/>
  <c r="D1" i="20"/>
  <c r="S1" i="6"/>
  <c r="N1" i="6"/>
  <c r="I1" i="6"/>
  <c r="D1" i="6"/>
  <c r="AR14" i="2"/>
  <c r="AS14" i="2" s="1"/>
  <c r="B29" i="23" l="1"/>
  <c r="B23" i="23"/>
  <c r="C10" i="21"/>
  <c r="B17" i="23"/>
  <c r="B11" i="23"/>
  <c r="D53" i="23"/>
  <c r="G47" i="23"/>
  <c r="I52" i="23"/>
  <c r="C35" i="23"/>
  <c r="L110" i="23"/>
  <c r="L55" i="23"/>
  <c r="I134" i="23"/>
  <c r="C131" i="23"/>
  <c r="G114" i="23"/>
  <c r="G110" i="23"/>
  <c r="K57" i="23"/>
  <c r="K40" i="23"/>
  <c r="K146" i="23"/>
  <c r="F59" i="23"/>
  <c r="J35" i="23"/>
  <c r="L60" i="23"/>
  <c r="I37" i="23"/>
  <c r="I116" i="23"/>
  <c r="G63" i="23"/>
  <c r="G159" i="23"/>
  <c r="G150" i="23"/>
  <c r="L132" i="23"/>
  <c r="E113" i="23"/>
  <c r="L107" i="23"/>
  <c r="F101" i="23"/>
  <c r="G81" i="23"/>
  <c r="J54" i="23"/>
  <c r="K153" i="23"/>
  <c r="K47" i="23"/>
  <c r="I66" i="23"/>
  <c r="E131" i="23"/>
  <c r="J165" i="23"/>
  <c r="F155" i="23"/>
  <c r="K136" i="23"/>
  <c r="I132" i="23"/>
  <c r="L112" i="23"/>
  <c r="I107" i="23"/>
  <c r="G162" i="23"/>
  <c r="C107" i="23"/>
  <c r="E53" i="23"/>
  <c r="B5" i="23"/>
  <c r="G135" i="23"/>
  <c r="E77" i="23"/>
  <c r="L38" i="23"/>
  <c r="I97" i="23"/>
  <c r="G49" i="23"/>
  <c r="L100" i="23"/>
  <c r="E95" i="23"/>
  <c r="G37" i="23"/>
  <c r="J107" i="23"/>
  <c r="L46" i="23"/>
  <c r="K103" i="23"/>
  <c r="E35" i="23"/>
  <c r="I99" i="23"/>
  <c r="C77" i="23"/>
  <c r="K143" i="23"/>
  <c r="G67" i="23"/>
  <c r="F83" i="23"/>
  <c r="I120" i="23"/>
  <c r="I141" i="23"/>
  <c r="K43" i="23"/>
  <c r="L69" i="23"/>
  <c r="G132" i="23"/>
  <c r="J67" i="23"/>
  <c r="J129" i="23"/>
  <c r="I113" i="23"/>
  <c r="F113" i="23"/>
  <c r="L144" i="23"/>
  <c r="K162" i="23"/>
  <c r="I162" i="23"/>
  <c r="I62" i="23"/>
  <c r="G82" i="23"/>
  <c r="G122" i="23"/>
  <c r="L153" i="23"/>
  <c r="I140" i="23"/>
  <c r="G141" i="23"/>
  <c r="I56" i="23"/>
  <c r="I68" i="23"/>
  <c r="K131" i="23"/>
  <c r="J136" i="23"/>
  <c r="K77" i="23"/>
  <c r="J106" i="23"/>
  <c r="J161" i="23"/>
  <c r="J95" i="23"/>
  <c r="G123" i="23"/>
  <c r="K109" i="23"/>
  <c r="I57" i="23"/>
  <c r="F53" i="23"/>
  <c r="G107" i="23"/>
  <c r="I105" i="23"/>
  <c r="I40" i="23"/>
  <c r="J117" i="23"/>
  <c r="I58" i="23"/>
  <c r="L113" i="23"/>
  <c r="I38" i="23"/>
  <c r="J105" i="23"/>
  <c r="K96" i="23"/>
  <c r="L152" i="23"/>
  <c r="I65" i="23"/>
  <c r="C83" i="23"/>
  <c r="J85" i="23"/>
  <c r="G46" i="23"/>
  <c r="I77" i="23"/>
  <c r="K137" i="23"/>
  <c r="K69" i="23"/>
  <c r="L42" i="23"/>
  <c r="J128" i="23"/>
  <c r="K118" i="23"/>
  <c r="J114" i="23"/>
  <c r="J148" i="23"/>
  <c r="F161" i="23"/>
  <c r="D161" i="23"/>
  <c r="K41" i="23"/>
  <c r="J59" i="23"/>
  <c r="J93" i="23"/>
  <c r="J127" i="23"/>
  <c r="I151" i="23"/>
  <c r="G137" i="23"/>
  <c r="I46" i="23"/>
  <c r="I54" i="23"/>
  <c r="G79" i="23"/>
  <c r="K135" i="23"/>
  <c r="L138" i="23"/>
  <c r="D41" i="23"/>
  <c r="I80" i="23"/>
  <c r="L101" i="23"/>
  <c r="I165" i="23"/>
  <c r="K97" i="23"/>
  <c r="K95" i="23"/>
  <c r="G56" i="23"/>
  <c r="G111" i="23"/>
  <c r="I36" i="23"/>
  <c r="G152" i="23"/>
  <c r="K53" i="23"/>
  <c r="J132" i="23"/>
  <c r="L96" i="23"/>
  <c r="K54" i="23"/>
  <c r="L134" i="23"/>
  <c r="G52" i="23"/>
  <c r="I148" i="23"/>
  <c r="J99" i="23"/>
  <c r="L161" i="23"/>
  <c r="K70" i="23"/>
  <c r="K124" i="23"/>
  <c r="J51" i="23"/>
  <c r="J81" i="23"/>
  <c r="G142" i="23"/>
  <c r="D65" i="23"/>
  <c r="J41" i="23"/>
  <c r="K116" i="23"/>
  <c r="K117" i="23"/>
  <c r="J166" i="23"/>
  <c r="G166" i="23"/>
  <c r="J163" i="23"/>
  <c r="I44" i="23"/>
  <c r="G61" i="23"/>
  <c r="L92" i="23"/>
  <c r="F143" i="23"/>
  <c r="C149" i="23"/>
  <c r="J142" i="23"/>
  <c r="J65" i="23"/>
  <c r="G54" i="23"/>
  <c r="D113" i="23"/>
  <c r="J133" i="23"/>
  <c r="G143" i="23"/>
  <c r="K42" i="23"/>
  <c r="J77" i="23"/>
  <c r="J113" i="23"/>
  <c r="L99" i="23"/>
  <c r="G98" i="23"/>
  <c r="I117" i="23"/>
  <c r="L51" i="23"/>
  <c r="G59" i="23"/>
  <c r="F131" i="23"/>
  <c r="L49" i="23"/>
  <c r="J60" i="23"/>
  <c r="K149" i="23"/>
  <c r="K76" i="23"/>
  <c r="L57" i="23"/>
  <c r="G134" i="23"/>
  <c r="C53" i="23"/>
  <c r="G151" i="23"/>
  <c r="I35" i="23"/>
  <c r="K112" i="23"/>
  <c r="K68" i="23"/>
  <c r="L124" i="23"/>
  <c r="G53" i="23"/>
  <c r="J87" i="23"/>
  <c r="L162" i="23"/>
  <c r="E41" i="23"/>
  <c r="J42" i="23"/>
  <c r="K66" i="23"/>
  <c r="G88" i="23"/>
  <c r="L114" i="23"/>
  <c r="L125" i="23"/>
  <c r="L166" i="23"/>
  <c r="I164" i="23"/>
  <c r="J46" i="23"/>
  <c r="I64" i="23"/>
  <c r="G90" i="23"/>
  <c r="L151" i="23"/>
  <c r="G153" i="23"/>
  <c r="J139" i="23"/>
  <c r="G70" i="23"/>
  <c r="I42" i="23"/>
  <c r="L56" i="23"/>
  <c r="K115" i="23"/>
  <c r="I131" i="23"/>
  <c r="J149" i="23"/>
  <c r="I45" i="23"/>
  <c r="J79" i="23"/>
  <c r="G116" i="23"/>
  <c r="G108" i="23"/>
  <c r="G100" i="23"/>
  <c r="L136" i="23"/>
  <c r="J147" i="23"/>
  <c r="G64" i="23"/>
  <c r="G136" i="23"/>
  <c r="J53" i="23"/>
  <c r="G80" i="23"/>
  <c r="L156" i="23"/>
  <c r="G95" i="23"/>
  <c r="J61" i="23"/>
  <c r="J140" i="23"/>
  <c r="G55" i="23"/>
  <c r="I161" i="23"/>
  <c r="J38" i="23"/>
  <c r="K110" i="23"/>
  <c r="L66" i="23"/>
  <c r="I121" i="23"/>
  <c r="F41" i="23"/>
  <c r="J55" i="23"/>
  <c r="J103" i="23"/>
  <c r="J45" i="23"/>
  <c r="K44" i="23"/>
  <c r="J69" i="23"/>
  <c r="J118" i="23"/>
  <c r="G113" i="23"/>
  <c r="I138" i="23"/>
  <c r="G165" i="23"/>
  <c r="J162" i="23"/>
  <c r="K64" i="23"/>
  <c r="L65" i="23"/>
  <c r="L104" i="23"/>
  <c r="G149" i="23"/>
  <c r="C161" i="23"/>
  <c r="E137" i="23"/>
  <c r="J121" i="23"/>
  <c r="J44" i="23"/>
  <c r="D59" i="23"/>
  <c r="G118" i="23"/>
  <c r="I135" i="23"/>
  <c r="I153" i="23"/>
  <c r="C65" i="23"/>
  <c r="J84" i="23"/>
  <c r="D119" i="23"/>
  <c r="K111" i="23"/>
  <c r="L108" i="23"/>
  <c r="I96" i="23"/>
  <c r="K62" i="23"/>
  <c r="I78" i="23"/>
  <c r="G160" i="23"/>
  <c r="G57" i="23"/>
  <c r="F95" i="23"/>
  <c r="K98" i="23"/>
  <c r="K75" i="23"/>
  <c r="I150" i="23"/>
  <c r="L58" i="23"/>
  <c r="I55" i="23"/>
  <c r="L115" i="23"/>
  <c r="J70" i="23"/>
  <c r="G65" i="23"/>
  <c r="I124" i="23"/>
  <c r="L45" i="23"/>
  <c r="K36" i="23"/>
  <c r="K60" i="23"/>
  <c r="I114" i="23"/>
  <c r="G44" i="23"/>
  <c r="E119" i="23"/>
  <c r="L118" i="23"/>
  <c r="I118" i="23"/>
  <c r="I147" i="23"/>
  <c r="G163" i="23"/>
  <c r="E161" i="23"/>
  <c r="J62" i="23"/>
  <c r="G68" i="23"/>
  <c r="C113" i="23"/>
  <c r="K154" i="23"/>
  <c r="K163" i="23"/>
  <c r="I142" i="23"/>
  <c r="K58" i="23"/>
  <c r="I61" i="23"/>
  <c r="J122" i="23"/>
  <c r="I133" i="23"/>
  <c r="G161" i="23"/>
  <c r="J66" i="23"/>
  <c r="K102" i="23"/>
  <c r="I123" i="23"/>
  <c r="J112" i="23"/>
  <c r="I98" i="23"/>
  <c r="K165" i="23"/>
  <c r="G36" i="23"/>
  <c r="D95" i="23"/>
  <c r="K164" i="23"/>
  <c r="I59" i="23"/>
  <c r="I100" i="23"/>
  <c r="J98" i="23"/>
  <c r="F125" i="23"/>
  <c r="D35" i="23"/>
  <c r="I95" i="23"/>
  <c r="K166" i="23"/>
  <c r="J100" i="23"/>
  <c r="K82" i="23"/>
  <c r="I63" i="23"/>
  <c r="D131" i="23"/>
  <c r="L70" i="23"/>
  <c r="J68" i="23"/>
  <c r="J120" i="23"/>
  <c r="L85" i="23"/>
  <c r="L39" i="23"/>
  <c r="F65" i="23"/>
  <c r="K119" i="23"/>
  <c r="L67" i="23"/>
  <c r="J130" i="23"/>
  <c r="I43" i="23"/>
  <c r="G117" i="23"/>
  <c r="J116" i="23"/>
  <c r="J146" i="23"/>
  <c r="I166" i="23"/>
  <c r="L165" i="23"/>
  <c r="K59" i="23"/>
  <c r="I70" i="23"/>
  <c r="J115" i="23"/>
  <c r="J151" i="23"/>
  <c r="K142" i="23"/>
  <c r="I139" i="23"/>
  <c r="K56" i="23"/>
  <c r="L64" i="23"/>
  <c r="L135" i="23"/>
  <c r="G131" i="23"/>
  <c r="L163" i="23"/>
  <c r="I69" i="23"/>
  <c r="K106" i="23"/>
  <c r="K140" i="23"/>
  <c r="I109" i="23"/>
  <c r="G40" i="23"/>
  <c r="I39" i="23"/>
  <c r="K125" i="23"/>
  <c r="J64" i="23"/>
  <c r="L142" i="23"/>
  <c r="L80" i="23"/>
  <c r="G35" i="23"/>
  <c r="L81" i="23"/>
  <c r="E101" i="23"/>
  <c r="G69" i="23"/>
  <c r="J119" i="23"/>
  <c r="J78" i="23"/>
  <c r="D137" i="23"/>
  <c r="J102" i="23"/>
  <c r="G39" i="23"/>
  <c r="J96" i="23"/>
  <c r="I87" i="23"/>
  <c r="E65" i="23"/>
  <c r="G115" i="23"/>
  <c r="L117" i="23"/>
  <c r="K144" i="23"/>
  <c r="G97" i="23"/>
  <c r="G124" i="23"/>
  <c r="K114" i="23"/>
  <c r="D149" i="23"/>
  <c r="J58" i="23"/>
  <c r="K138" i="23"/>
  <c r="J137" i="23"/>
  <c r="K145" i="23"/>
  <c r="G66" i="23"/>
  <c r="L37" i="23"/>
  <c r="L62" i="23"/>
  <c r="J164" i="23"/>
  <c r="L133" i="23"/>
  <c r="K67" i="23"/>
  <c r="K129" i="23"/>
  <c r="I79" i="23"/>
  <c r="L36" i="23"/>
  <c r="C71" i="23"/>
  <c r="J104" i="23"/>
  <c r="L103" i="23"/>
  <c r="I106" i="23"/>
  <c r="K52" i="23"/>
  <c r="I48" i="23"/>
  <c r="I93" i="23"/>
  <c r="J92" i="23"/>
  <c r="G71" i="23"/>
  <c r="D71" i="23"/>
  <c r="I71" i="23"/>
  <c r="K35" i="23"/>
  <c r="L43" i="23"/>
  <c r="L83" i="23"/>
  <c r="L109" i="23"/>
  <c r="I110" i="23"/>
  <c r="K126" i="23"/>
  <c r="F35" i="23"/>
  <c r="L74" i="23"/>
  <c r="G85" i="23"/>
  <c r="L84" i="23"/>
  <c r="L89" i="23"/>
  <c r="G128" i="23"/>
  <c r="G127" i="23"/>
  <c r="I81" i="23"/>
  <c r="G120" i="23"/>
  <c r="G154" i="23"/>
  <c r="D155" i="23"/>
  <c r="C143" i="23"/>
  <c r="L61" i="23"/>
  <c r="J80" i="23"/>
  <c r="J138" i="23"/>
  <c r="L147" i="23"/>
  <c r="G58" i="23"/>
  <c r="G60" i="23"/>
  <c r="G99" i="23"/>
  <c r="G121" i="23"/>
  <c r="J135" i="23"/>
  <c r="G148" i="23"/>
  <c r="L155" i="23"/>
  <c r="G157" i="23"/>
  <c r="G119" i="23"/>
  <c r="C155" i="23"/>
  <c r="I115" i="23"/>
  <c r="F89" i="23"/>
  <c r="K72" i="23"/>
  <c r="G94" i="23"/>
  <c r="K74" i="23"/>
  <c r="J111" i="23"/>
  <c r="L111" i="23"/>
  <c r="L126" i="23"/>
  <c r="L86" i="23"/>
  <c r="L128" i="23"/>
  <c r="L143" i="23"/>
  <c r="G146" i="23"/>
  <c r="K133" i="23"/>
  <c r="L98" i="23"/>
  <c r="K38" i="23"/>
  <c r="I73" i="23"/>
  <c r="L102" i="23"/>
  <c r="G102" i="23"/>
  <c r="G125" i="23"/>
  <c r="G51" i="23"/>
  <c r="I50" i="23"/>
  <c r="J91" i="23"/>
  <c r="K90" i="23"/>
  <c r="I76" i="23"/>
  <c r="I75" i="23"/>
  <c r="L73" i="23"/>
  <c r="J37" i="23"/>
  <c r="K45" i="23"/>
  <c r="J86" i="23"/>
  <c r="I108" i="23"/>
  <c r="J108" i="23"/>
  <c r="I130" i="23"/>
  <c r="L35" i="23"/>
  <c r="G84" i="23"/>
  <c r="G72" i="23"/>
  <c r="I47" i="23"/>
  <c r="J83" i="23"/>
  <c r="G83" i="23"/>
  <c r="K92" i="23"/>
  <c r="I126" i="23"/>
  <c r="I125" i="23"/>
  <c r="K79" i="23"/>
  <c r="L121" i="23"/>
  <c r="J152" i="23"/>
  <c r="K156" i="23"/>
  <c r="G144" i="23"/>
  <c r="I60" i="23"/>
  <c r="I82" i="23"/>
  <c r="F137" i="23"/>
  <c r="E149" i="23"/>
  <c r="J56" i="23"/>
  <c r="G62" i="23"/>
  <c r="J97" i="23"/>
  <c r="L122" i="23"/>
  <c r="C137" i="23"/>
  <c r="F149" i="23"/>
  <c r="G158" i="23"/>
  <c r="J155" i="23"/>
  <c r="L119" i="23"/>
  <c r="J156" i="23"/>
  <c r="L116" i="23"/>
  <c r="J153" i="23"/>
  <c r="K159" i="23"/>
  <c r="L159" i="23"/>
  <c r="J134" i="23"/>
  <c r="J40" i="23"/>
  <c r="J76" i="23"/>
  <c r="I101" i="23"/>
  <c r="C101" i="23"/>
  <c r="K128" i="23"/>
  <c r="J49" i="23"/>
  <c r="F71" i="23"/>
  <c r="K89" i="23"/>
  <c r="E89" i="23"/>
  <c r="J74" i="23"/>
  <c r="J73" i="23"/>
  <c r="L76" i="23"/>
  <c r="K46" i="23"/>
  <c r="E47" i="23"/>
  <c r="D89" i="23"/>
  <c r="E107" i="23"/>
  <c r="D107" i="23"/>
  <c r="G73" i="23"/>
  <c r="K37" i="23"/>
  <c r="G89" i="23"/>
  <c r="G75" i="23"/>
  <c r="K49" i="23"/>
  <c r="L88" i="23"/>
  <c r="L87" i="23"/>
  <c r="L130" i="23"/>
  <c r="C125" i="23"/>
  <c r="G130" i="23"/>
  <c r="G78" i="23"/>
  <c r="K123" i="23"/>
  <c r="L150" i="23"/>
  <c r="L158" i="23"/>
  <c r="L145" i="23"/>
  <c r="E59" i="23"/>
  <c r="F119" i="23"/>
  <c r="L137" i="23"/>
  <c r="J150" i="23"/>
  <c r="L54" i="23"/>
  <c r="L63" i="23"/>
  <c r="L95" i="23"/>
  <c r="I136" i="23"/>
  <c r="G138" i="23"/>
  <c r="K150" i="23"/>
  <c r="J159" i="23"/>
  <c r="G156" i="23"/>
  <c r="K121" i="23"/>
  <c r="J158" i="23"/>
  <c r="K161" i="23"/>
  <c r="G41" i="23"/>
  <c r="I41" i="23"/>
  <c r="E83" i="23"/>
  <c r="L105" i="23"/>
  <c r="L106" i="23"/>
  <c r="L47" i="23"/>
  <c r="K73" i="23"/>
  <c r="L94" i="23"/>
  <c r="L90" i="23"/>
  <c r="J72" i="23"/>
  <c r="K71" i="23"/>
  <c r="L40" i="23"/>
  <c r="K83" i="23"/>
  <c r="G45" i="23"/>
  <c r="K48" i="23"/>
  <c r="K91" i="23"/>
  <c r="I112" i="23"/>
  <c r="I111" i="23"/>
  <c r="J39" i="23"/>
  <c r="L91" i="23"/>
  <c r="I89" i="23"/>
  <c r="K51" i="23"/>
  <c r="G87" i="23"/>
  <c r="G86" i="23"/>
  <c r="I129" i="23"/>
  <c r="G129" i="23"/>
  <c r="I128" i="23"/>
  <c r="D77" i="23"/>
  <c r="I137" i="23"/>
  <c r="I149" i="23"/>
  <c r="L160" i="23"/>
  <c r="K147" i="23"/>
  <c r="L59" i="23"/>
  <c r="L120" i="23"/>
  <c r="K139" i="23"/>
  <c r="I152" i="23"/>
  <c r="I53" i="23"/>
  <c r="G77" i="23"/>
  <c r="C95" i="23"/>
  <c r="K134" i="23"/>
  <c r="L139" i="23"/>
  <c r="K152" i="23"/>
  <c r="L157" i="23"/>
  <c r="I158" i="23"/>
  <c r="J123" i="23"/>
  <c r="K160" i="23"/>
  <c r="I163" i="23"/>
  <c r="C119" i="23"/>
  <c r="K120" i="23"/>
  <c r="G43" i="23"/>
  <c r="K85" i="23"/>
  <c r="G104" i="23"/>
  <c r="G105" i="23"/>
  <c r="C47" i="23"/>
  <c r="K93" i="23"/>
  <c r="G93" i="23"/>
  <c r="L93" i="23"/>
  <c r="E71" i="23"/>
  <c r="D47" i="23"/>
  <c r="I86" i="23"/>
  <c r="J43" i="23"/>
  <c r="K50" i="23"/>
  <c r="J94" i="23"/>
  <c r="J110" i="23"/>
  <c r="J109" i="23"/>
  <c r="F47" i="23"/>
  <c r="K94" i="23"/>
  <c r="I92" i="23"/>
  <c r="L72" i="23"/>
  <c r="I85" i="23"/>
  <c r="I84" i="23"/>
  <c r="K127" i="23"/>
  <c r="I127" i="23"/>
  <c r="J126" i="23"/>
  <c r="L77" i="23"/>
  <c r="G139" i="23"/>
  <c r="L154" i="23"/>
  <c r="K148" i="23"/>
  <c r="G155" i="23"/>
  <c r="K61" i="23"/>
  <c r="K122" i="23"/>
  <c r="J141" i="23"/>
  <c r="I154" i="23"/>
  <c r="L53" i="23"/>
  <c r="L78" i="23"/>
  <c r="G96" i="23"/>
  <c r="G133" i="23"/>
  <c r="L141" i="23"/>
  <c r="J154" i="23"/>
  <c r="I156" i="23"/>
  <c r="J160" i="23"/>
  <c r="I143" i="23"/>
  <c r="K65" i="23"/>
  <c r="L164" i="23"/>
  <c r="J36" i="23"/>
  <c r="L82" i="23"/>
  <c r="K78" i="23"/>
  <c r="K100" i="23"/>
  <c r="K158" i="23"/>
  <c r="G164" i="23"/>
  <c r="L44" i="23"/>
  <c r="J88" i="23"/>
  <c r="I102" i="23"/>
  <c r="I103" i="23"/>
  <c r="I51" i="23"/>
  <c r="G92" i="23"/>
  <c r="I91" i="23"/>
  <c r="L75" i="23"/>
  <c r="G76" i="23"/>
  <c r="J48" i="23"/>
  <c r="C89" i="23"/>
  <c r="L41" i="23"/>
  <c r="L52" i="23"/>
  <c r="G101" i="23"/>
  <c r="K108" i="23"/>
  <c r="K107" i="23"/>
  <c r="K39" i="23"/>
  <c r="L48" i="23"/>
  <c r="K101" i="23"/>
  <c r="J75" i="23"/>
  <c r="I83" i="23"/>
  <c r="D83" i="23"/>
  <c r="G126" i="23"/>
  <c r="J125" i="23"/>
  <c r="E125" i="23"/>
  <c r="L79" i="23"/>
  <c r="L140" i="23"/>
  <c r="L149" i="23"/>
  <c r="G147" i="23"/>
  <c r="I157" i="23"/>
  <c r="K63" i="23"/>
  <c r="J124" i="23"/>
  <c r="D143" i="23"/>
  <c r="I155" i="23"/>
  <c r="K55" i="23"/>
  <c r="K80" i="23"/>
  <c r="L97" i="23"/>
  <c r="J131" i="23"/>
  <c r="E143" i="23"/>
  <c r="K155" i="23"/>
  <c r="E155" i="23"/>
  <c r="L123" i="23"/>
  <c r="G145" i="23"/>
  <c r="I67" i="23"/>
  <c r="K132" i="23"/>
  <c r="G50" i="23"/>
  <c r="G106" i="23"/>
  <c r="K105" i="23"/>
  <c r="G103" i="23"/>
  <c r="J47" i="23"/>
  <c r="I94" i="23"/>
  <c r="I72" i="23"/>
  <c r="J52" i="23"/>
  <c r="G42" i="23"/>
  <c r="G112" i="23"/>
  <c r="L71" i="23"/>
  <c r="K86" i="23"/>
  <c r="K87" i="23"/>
  <c r="I145" i="23"/>
  <c r="G140" i="23"/>
  <c r="I119" i="23"/>
  <c r="L148" i="23"/>
  <c r="G48" i="23"/>
  <c r="I90" i="23"/>
  <c r="D101" i="23"/>
  <c r="J101" i="23"/>
  <c r="I49" i="23"/>
  <c r="J90" i="23"/>
  <c r="J89" i="23"/>
  <c r="I74" i="23"/>
  <c r="G74" i="23"/>
  <c r="J50" i="23"/>
  <c r="G91" i="23"/>
  <c r="C41" i="23"/>
  <c r="J71" i="23"/>
  <c r="I104" i="23"/>
  <c r="F107" i="23"/>
  <c r="G109" i="23"/>
  <c r="G38" i="23"/>
  <c r="L50" i="23"/>
  <c r="K104" i="23"/>
  <c r="I88" i="23"/>
  <c r="K88" i="23"/>
  <c r="K84" i="23"/>
  <c r="D125" i="23"/>
  <c r="K130" i="23"/>
  <c r="L127" i="23"/>
  <c r="K81" i="23"/>
  <c r="J143" i="23"/>
  <c r="K151" i="23"/>
  <c r="J145" i="23"/>
  <c r="I159" i="23"/>
  <c r="F77" i="23"/>
  <c r="K141" i="23"/>
  <c r="I144" i="23"/>
  <c r="J157" i="23"/>
  <c r="J57" i="23"/>
  <c r="J82" i="23"/>
  <c r="K99" i="23"/>
  <c r="L131" i="23"/>
  <c r="J144" i="23"/>
  <c r="K157" i="23"/>
  <c r="I160" i="23"/>
  <c r="I122" i="23"/>
  <c r="L146" i="23"/>
  <c r="L68" i="23"/>
  <c r="L129" i="23"/>
  <c r="J63" i="23"/>
  <c r="C59" i="23"/>
  <c r="I146" i="23"/>
  <c r="K113" i="23"/>
  <c r="AE7" i="19"/>
  <c r="V7" i="19"/>
  <c r="M7" i="19"/>
  <c r="D7" i="19"/>
  <c r="D7" i="20"/>
  <c r="L7" i="20"/>
  <c r="U7" i="20"/>
  <c r="S7" i="6"/>
  <c r="N7" i="6"/>
  <c r="I7" i="6"/>
  <c r="D7" i="6"/>
  <c r="AF10" i="20"/>
  <c r="U10" i="20"/>
  <c r="L10" i="20"/>
  <c r="D10" i="20"/>
  <c r="C10" i="20"/>
  <c r="AE10" i="19"/>
  <c r="V10" i="19"/>
  <c r="M10" i="19"/>
  <c r="D10" i="19"/>
  <c r="C10" i="19"/>
  <c r="C10" i="6"/>
  <c r="K10" i="23" l="1"/>
  <c r="G8" i="23"/>
  <c r="G6" i="23"/>
  <c r="F5" i="23"/>
  <c r="K9" i="23"/>
  <c r="I9" i="23"/>
  <c r="G5" i="23"/>
  <c r="K7" i="23"/>
  <c r="E5" i="23"/>
  <c r="D5" i="23"/>
  <c r="G10" i="23"/>
  <c r="J5" i="23"/>
  <c r="G9" i="23"/>
  <c r="J9" i="23"/>
  <c r="K6" i="23"/>
  <c r="G7" i="23"/>
  <c r="K5" i="23"/>
  <c r="K8" i="23"/>
  <c r="C5" i="23"/>
  <c r="J28" i="23"/>
  <c r="C23" i="23"/>
  <c r="L25" i="23"/>
  <c r="G25" i="23"/>
  <c r="G27" i="23"/>
  <c r="G23" i="23"/>
  <c r="K27" i="23"/>
  <c r="L26" i="23"/>
  <c r="I24" i="23"/>
  <c r="J26" i="23"/>
  <c r="L24" i="23"/>
  <c r="L28" i="23"/>
  <c r="K28" i="23"/>
  <c r="K23" i="23"/>
  <c r="G26" i="23"/>
  <c r="E23" i="23"/>
  <c r="K26" i="23"/>
  <c r="I27" i="23"/>
  <c r="J25" i="23"/>
  <c r="L27" i="23"/>
  <c r="I26" i="23"/>
  <c r="J24" i="23"/>
  <c r="K25" i="23"/>
  <c r="J27" i="23"/>
  <c r="G28" i="23"/>
  <c r="F23" i="23"/>
  <c r="G24" i="23"/>
  <c r="J23" i="23"/>
  <c r="I28" i="23"/>
  <c r="L23" i="23"/>
  <c r="K24" i="23"/>
  <c r="D23" i="23"/>
  <c r="I25" i="23"/>
  <c r="I23" i="23"/>
  <c r="G15" i="23"/>
  <c r="K14" i="23"/>
  <c r="J11" i="23"/>
  <c r="G13" i="23"/>
  <c r="D11" i="23"/>
  <c r="C11" i="23"/>
  <c r="G14" i="23"/>
  <c r="G11" i="23"/>
  <c r="K16" i="23"/>
  <c r="G12" i="23"/>
  <c r="F11" i="23"/>
  <c r="K12" i="23"/>
  <c r="K13" i="23"/>
  <c r="E11" i="23"/>
  <c r="K15" i="23"/>
  <c r="G16" i="23"/>
  <c r="K11" i="23"/>
  <c r="G21" i="23"/>
  <c r="K20" i="23"/>
  <c r="F17" i="23"/>
  <c r="D17" i="23"/>
  <c r="G19" i="23"/>
  <c r="G22" i="23"/>
  <c r="G18" i="23"/>
  <c r="K21" i="23"/>
  <c r="J17" i="23"/>
  <c r="C17" i="23"/>
  <c r="K17" i="23"/>
  <c r="G20" i="23"/>
  <c r="K22" i="23"/>
  <c r="K19" i="23"/>
  <c r="E17" i="23"/>
  <c r="G17" i="23"/>
  <c r="K18" i="23"/>
  <c r="I33" i="23"/>
  <c r="D29" i="23"/>
  <c r="I30" i="23"/>
  <c r="L33" i="23"/>
  <c r="G32" i="23"/>
  <c r="J30" i="23"/>
  <c r="G29" i="23"/>
  <c r="K32" i="23"/>
  <c r="K33" i="23"/>
  <c r="J34" i="23"/>
  <c r="L34" i="23"/>
  <c r="L31" i="23"/>
  <c r="L30" i="23"/>
  <c r="G31" i="23"/>
  <c r="L32" i="23"/>
  <c r="J29" i="23"/>
  <c r="K34" i="23"/>
  <c r="K29" i="23"/>
  <c r="L29" i="23"/>
  <c r="I29" i="23"/>
  <c r="J31" i="23"/>
  <c r="K31" i="23"/>
  <c r="E29" i="23"/>
  <c r="F29" i="23"/>
  <c r="I31" i="23"/>
  <c r="J33" i="23"/>
  <c r="C29" i="23"/>
  <c r="G34" i="23"/>
  <c r="I34" i="23"/>
  <c r="I32" i="23"/>
  <c r="K30" i="23"/>
  <c r="J32" i="23"/>
  <c r="G33" i="23"/>
  <c r="G30" i="23"/>
  <c r="X10" i="20"/>
  <c r="AA10" i="20"/>
  <c r="O10" i="20"/>
  <c r="R10" i="20"/>
  <c r="G10" i="20"/>
  <c r="J10" i="20"/>
  <c r="AH10" i="19"/>
  <c r="AL10" i="19"/>
  <c r="AK10" i="19"/>
  <c r="AC10" i="19"/>
  <c r="AB10" i="19"/>
  <c r="Y10" i="19"/>
  <c r="G10" i="19"/>
  <c r="K10" i="19"/>
  <c r="J10" i="19"/>
  <c r="T10" i="19"/>
  <c r="S10" i="19"/>
  <c r="P10" i="19"/>
  <c r="J18" i="23" l="1"/>
  <c r="AG14" i="2"/>
  <c r="H6" i="23"/>
  <c r="J6" i="23"/>
  <c r="J12" i="23"/>
  <c r="S10" i="6"/>
  <c r="V10" i="6" s="1"/>
  <c r="N10" i="6"/>
  <c r="Q10" i="6" s="1"/>
  <c r="I10" i="6"/>
  <c r="L10" i="6" s="1"/>
  <c r="D10" i="6"/>
  <c r="G10" i="6" s="1"/>
  <c r="I6" i="23" l="1"/>
  <c r="I12" i="23"/>
  <c r="I18" i="23"/>
  <c r="AC14" i="2"/>
  <c r="I11" i="23" l="1"/>
  <c r="J19" i="23"/>
  <c r="J15" i="23"/>
  <c r="J14" i="23"/>
  <c r="J20" i="23"/>
  <c r="L12" i="23"/>
  <c r="I17" i="23"/>
  <c r="J16" i="23"/>
  <c r="J13" i="23"/>
  <c r="J22" i="23"/>
  <c r="J21" i="23"/>
  <c r="I5" i="23"/>
  <c r="L15" i="23" l="1"/>
  <c r="I13" i="23"/>
  <c r="I21" i="23"/>
  <c r="L16" i="23"/>
  <c r="L21" i="23"/>
  <c r="I20" i="23"/>
  <c r="L20" i="23"/>
  <c r="I15" i="23"/>
  <c r="L22" i="23"/>
  <c r="I16" i="23"/>
  <c r="L14" i="23"/>
  <c r="I19" i="23"/>
  <c r="I22" i="23"/>
  <c r="I14" i="23"/>
  <c r="L19" i="23"/>
  <c r="L13" i="23"/>
  <c r="L18" i="23"/>
  <c r="M362" i="4"/>
  <c r="L362" i="4"/>
  <c r="M361" i="4"/>
  <c r="L361" i="4"/>
  <c r="M360" i="4"/>
  <c r="L360" i="4"/>
  <c r="M359" i="4"/>
  <c r="L359" i="4"/>
  <c r="M358" i="4"/>
  <c r="L358" i="4"/>
  <c r="M357" i="4"/>
  <c r="L357" i="4"/>
  <c r="M356" i="4"/>
  <c r="L356" i="4"/>
  <c r="M355" i="4"/>
  <c r="L355" i="4"/>
  <c r="M354" i="4"/>
  <c r="L354" i="4"/>
  <c r="M353" i="4"/>
  <c r="L353" i="4"/>
  <c r="M350" i="4"/>
  <c r="L350" i="4"/>
  <c r="M349" i="4"/>
  <c r="L349" i="4"/>
  <c r="M348" i="4"/>
  <c r="L348" i="4"/>
  <c r="M347" i="4"/>
  <c r="L347" i="4"/>
  <c r="M346" i="4"/>
  <c r="L346" i="4"/>
  <c r="M345" i="4"/>
  <c r="L345" i="4"/>
  <c r="M344" i="4"/>
  <c r="L344" i="4"/>
  <c r="M343" i="4"/>
  <c r="L343" i="4"/>
  <c r="M342" i="4"/>
  <c r="L342" i="4"/>
  <c r="M341" i="4"/>
  <c r="L341" i="4"/>
  <c r="M338" i="4"/>
  <c r="L338" i="4"/>
  <c r="M337" i="4"/>
  <c r="L337" i="4"/>
  <c r="M336" i="4"/>
  <c r="L336" i="4"/>
  <c r="M335" i="4"/>
  <c r="L335" i="4"/>
  <c r="M334" i="4"/>
  <c r="L334" i="4"/>
  <c r="M333" i="4"/>
  <c r="L333" i="4"/>
  <c r="M332" i="4"/>
  <c r="L332" i="4"/>
  <c r="M331" i="4"/>
  <c r="L331" i="4"/>
  <c r="M330" i="4"/>
  <c r="L330" i="4"/>
  <c r="M329" i="4"/>
  <c r="L329" i="4"/>
  <c r="M326" i="4"/>
  <c r="L326" i="4"/>
  <c r="M325" i="4"/>
  <c r="L325" i="4"/>
  <c r="M324" i="4"/>
  <c r="L324" i="4"/>
  <c r="M323" i="4"/>
  <c r="L323" i="4"/>
  <c r="M322" i="4"/>
  <c r="L322" i="4"/>
  <c r="M321" i="4"/>
  <c r="L321" i="4"/>
  <c r="M320" i="4"/>
  <c r="L320" i="4"/>
  <c r="M319" i="4"/>
  <c r="L319" i="4"/>
  <c r="M318" i="4"/>
  <c r="L318" i="4"/>
  <c r="M317" i="4"/>
  <c r="L317" i="4"/>
  <c r="M314" i="4"/>
  <c r="L314" i="4"/>
  <c r="M313" i="4"/>
  <c r="L313" i="4"/>
  <c r="M312" i="4"/>
  <c r="L312" i="4"/>
  <c r="M311" i="4"/>
  <c r="L311" i="4"/>
  <c r="M310" i="4"/>
  <c r="L310" i="4"/>
  <c r="M309" i="4"/>
  <c r="L309" i="4"/>
  <c r="M308" i="4"/>
  <c r="L308" i="4"/>
  <c r="M307" i="4"/>
  <c r="L307" i="4"/>
  <c r="M306" i="4"/>
  <c r="L306" i="4"/>
  <c r="M305" i="4"/>
  <c r="L305" i="4"/>
  <c r="M302" i="4"/>
  <c r="L302" i="4"/>
  <c r="M301" i="4"/>
  <c r="L301" i="4"/>
  <c r="M300" i="4"/>
  <c r="L300" i="4"/>
  <c r="M299" i="4"/>
  <c r="L299" i="4"/>
  <c r="M298" i="4"/>
  <c r="L298" i="4"/>
  <c r="M297" i="4"/>
  <c r="L297" i="4"/>
  <c r="M296" i="4"/>
  <c r="L296" i="4"/>
  <c r="M295" i="4"/>
  <c r="L295" i="4"/>
  <c r="M294" i="4"/>
  <c r="L294" i="4"/>
  <c r="M293" i="4"/>
  <c r="L293" i="4"/>
  <c r="M290" i="4"/>
  <c r="L290" i="4"/>
  <c r="M289" i="4"/>
  <c r="L289" i="4"/>
  <c r="M288" i="4"/>
  <c r="L288" i="4"/>
  <c r="M287" i="4"/>
  <c r="L287" i="4"/>
  <c r="M286" i="4"/>
  <c r="L286" i="4"/>
  <c r="M285" i="4"/>
  <c r="L285" i="4"/>
  <c r="M284" i="4"/>
  <c r="L284" i="4"/>
  <c r="M283" i="4"/>
  <c r="L283" i="4"/>
  <c r="M282" i="4"/>
  <c r="L282" i="4"/>
  <c r="M281" i="4"/>
  <c r="L281" i="4"/>
  <c r="M278" i="4"/>
  <c r="L278" i="4"/>
  <c r="M277" i="4"/>
  <c r="L277" i="4"/>
  <c r="M276" i="4"/>
  <c r="L276" i="4"/>
  <c r="M275" i="4"/>
  <c r="L275" i="4"/>
  <c r="M274" i="4"/>
  <c r="L274" i="4"/>
  <c r="M273" i="4"/>
  <c r="L273" i="4"/>
  <c r="M272" i="4"/>
  <c r="L272" i="4"/>
  <c r="M271" i="4"/>
  <c r="L271" i="4"/>
  <c r="M270" i="4"/>
  <c r="L270" i="4"/>
  <c r="M269" i="4"/>
  <c r="L269" i="4"/>
  <c r="M266" i="4"/>
  <c r="L266" i="4"/>
  <c r="M265" i="4"/>
  <c r="L265" i="4"/>
  <c r="M264" i="4"/>
  <c r="L264" i="4"/>
  <c r="M263" i="4"/>
  <c r="L263" i="4"/>
  <c r="M262" i="4"/>
  <c r="L262" i="4"/>
  <c r="M261" i="4"/>
  <c r="L261" i="4"/>
  <c r="M260" i="4"/>
  <c r="L260" i="4"/>
  <c r="M259" i="4"/>
  <c r="L259" i="4"/>
  <c r="M258" i="4"/>
  <c r="L258" i="4"/>
  <c r="M257" i="4"/>
  <c r="L257" i="4"/>
  <c r="M254" i="4"/>
  <c r="L254" i="4"/>
  <c r="M253" i="4"/>
  <c r="L253" i="4"/>
  <c r="M252" i="4"/>
  <c r="L252" i="4"/>
  <c r="M251" i="4"/>
  <c r="L251" i="4"/>
  <c r="M250" i="4"/>
  <c r="L250" i="4"/>
  <c r="M249" i="4"/>
  <c r="L249" i="4"/>
  <c r="M248" i="4"/>
  <c r="L248" i="4"/>
  <c r="M247" i="4"/>
  <c r="L247" i="4"/>
  <c r="M246" i="4"/>
  <c r="L246" i="4"/>
  <c r="M245" i="4"/>
  <c r="L245" i="4"/>
  <c r="M242" i="4"/>
  <c r="L242" i="4"/>
  <c r="M241" i="4"/>
  <c r="L241" i="4"/>
  <c r="M240" i="4"/>
  <c r="L240" i="4"/>
  <c r="M239" i="4"/>
  <c r="L239" i="4"/>
  <c r="M238" i="4"/>
  <c r="L238" i="4"/>
  <c r="M237" i="4"/>
  <c r="L237" i="4"/>
  <c r="M236" i="4"/>
  <c r="L236" i="4"/>
  <c r="M235" i="4"/>
  <c r="L235" i="4"/>
  <c r="M234" i="4"/>
  <c r="L234" i="4"/>
  <c r="M233" i="4"/>
  <c r="L233" i="4"/>
  <c r="M230" i="4"/>
  <c r="L230" i="4"/>
  <c r="M229" i="4"/>
  <c r="L229" i="4"/>
  <c r="M228" i="4"/>
  <c r="L228" i="4"/>
  <c r="M227" i="4"/>
  <c r="L227" i="4"/>
  <c r="M226" i="4"/>
  <c r="L226" i="4"/>
  <c r="M225" i="4"/>
  <c r="L225" i="4"/>
  <c r="M224" i="4"/>
  <c r="L224" i="4"/>
  <c r="M223" i="4"/>
  <c r="L223" i="4"/>
  <c r="M222" i="4"/>
  <c r="L222" i="4"/>
  <c r="M221" i="4"/>
  <c r="L221" i="4"/>
  <c r="M218" i="4"/>
  <c r="L218" i="4"/>
  <c r="M217" i="4"/>
  <c r="L217" i="4"/>
  <c r="M216" i="4"/>
  <c r="L216" i="4"/>
  <c r="M215" i="4"/>
  <c r="L215" i="4"/>
  <c r="M214" i="4"/>
  <c r="L214" i="4"/>
  <c r="M213" i="4"/>
  <c r="L213" i="4"/>
  <c r="M212" i="4"/>
  <c r="L212" i="4"/>
  <c r="M211" i="4"/>
  <c r="L211" i="4"/>
  <c r="M210" i="4"/>
  <c r="L210" i="4"/>
  <c r="M209" i="4"/>
  <c r="L209" i="4"/>
  <c r="M206" i="4"/>
  <c r="L206" i="4"/>
  <c r="M205" i="4"/>
  <c r="L205" i="4"/>
  <c r="M204" i="4"/>
  <c r="L204" i="4"/>
  <c r="M203" i="4"/>
  <c r="L203" i="4"/>
  <c r="M202" i="4"/>
  <c r="L202" i="4"/>
  <c r="M201" i="4"/>
  <c r="L201" i="4"/>
  <c r="M200" i="4"/>
  <c r="L200" i="4"/>
  <c r="M199" i="4"/>
  <c r="L199" i="4"/>
  <c r="M198" i="4"/>
  <c r="L198" i="4"/>
  <c r="M197" i="4"/>
  <c r="L197" i="4"/>
  <c r="M194" i="4"/>
  <c r="L194" i="4"/>
  <c r="M193" i="4"/>
  <c r="L193" i="4"/>
  <c r="M192" i="4"/>
  <c r="L192" i="4"/>
  <c r="M191" i="4"/>
  <c r="L191" i="4"/>
  <c r="M190" i="4"/>
  <c r="L190" i="4"/>
  <c r="M189" i="4"/>
  <c r="L189" i="4"/>
  <c r="M188" i="4"/>
  <c r="L188" i="4"/>
  <c r="M187" i="4"/>
  <c r="L187" i="4"/>
  <c r="M186" i="4"/>
  <c r="L186" i="4"/>
  <c r="M185" i="4"/>
  <c r="L185" i="4"/>
  <c r="M182" i="4"/>
  <c r="L182" i="4"/>
  <c r="M181" i="4"/>
  <c r="L181" i="4"/>
  <c r="M180" i="4"/>
  <c r="L180" i="4"/>
  <c r="M179" i="4"/>
  <c r="L179" i="4"/>
  <c r="M178" i="4"/>
  <c r="L178" i="4"/>
  <c r="M177" i="4"/>
  <c r="L177" i="4"/>
  <c r="M176" i="4"/>
  <c r="L176" i="4"/>
  <c r="M175" i="4"/>
  <c r="L175" i="4"/>
  <c r="M174" i="4"/>
  <c r="L174" i="4"/>
  <c r="M173" i="4"/>
  <c r="L173" i="4"/>
  <c r="M170" i="4"/>
  <c r="L170" i="4"/>
  <c r="M169" i="4"/>
  <c r="L169" i="4"/>
  <c r="M168" i="4"/>
  <c r="L168" i="4"/>
  <c r="M167" i="4"/>
  <c r="L167" i="4"/>
  <c r="M166" i="4"/>
  <c r="L166" i="4"/>
  <c r="M165" i="4"/>
  <c r="L165" i="4"/>
  <c r="M164" i="4"/>
  <c r="L164" i="4"/>
  <c r="M163" i="4"/>
  <c r="L163" i="4"/>
  <c r="M162" i="4"/>
  <c r="L162" i="4"/>
  <c r="M161" i="4"/>
  <c r="L161" i="4"/>
  <c r="M158" i="4"/>
  <c r="L158" i="4"/>
  <c r="M157" i="4"/>
  <c r="L157" i="4"/>
  <c r="M156" i="4"/>
  <c r="L156" i="4"/>
  <c r="M155" i="4"/>
  <c r="L155" i="4"/>
  <c r="M154" i="4"/>
  <c r="L154" i="4"/>
  <c r="M153" i="4"/>
  <c r="L153" i="4"/>
  <c r="M152" i="4"/>
  <c r="L152" i="4"/>
  <c r="M151" i="4"/>
  <c r="L151" i="4"/>
  <c r="M150" i="4"/>
  <c r="L150" i="4"/>
  <c r="M149" i="4"/>
  <c r="L149" i="4"/>
  <c r="M146" i="4"/>
  <c r="L146" i="4"/>
  <c r="M145" i="4"/>
  <c r="L145" i="4"/>
  <c r="M144" i="4"/>
  <c r="L144" i="4"/>
  <c r="M143" i="4"/>
  <c r="L143" i="4"/>
  <c r="M142" i="4"/>
  <c r="L142" i="4"/>
  <c r="M141" i="4"/>
  <c r="L141" i="4"/>
  <c r="M140" i="4"/>
  <c r="L140" i="4"/>
  <c r="M139" i="4"/>
  <c r="L139" i="4"/>
  <c r="M138" i="4"/>
  <c r="L138" i="4"/>
  <c r="M137" i="4"/>
  <c r="L137" i="4"/>
  <c r="M134" i="4"/>
  <c r="L134" i="4"/>
  <c r="M133" i="4"/>
  <c r="L133" i="4"/>
  <c r="M132" i="4"/>
  <c r="L132" i="4"/>
  <c r="M131" i="4"/>
  <c r="L131" i="4"/>
  <c r="M130" i="4"/>
  <c r="L130" i="4"/>
  <c r="M129" i="4"/>
  <c r="L129" i="4"/>
  <c r="M128" i="4"/>
  <c r="L128" i="4"/>
  <c r="M127" i="4"/>
  <c r="L127" i="4"/>
  <c r="M126" i="4"/>
  <c r="L126" i="4"/>
  <c r="M125" i="4"/>
  <c r="L125" i="4"/>
  <c r="M122" i="4"/>
  <c r="L122" i="4"/>
  <c r="M121" i="4"/>
  <c r="L121" i="4"/>
  <c r="M120" i="4"/>
  <c r="L120" i="4"/>
  <c r="M119" i="4"/>
  <c r="L119" i="4"/>
  <c r="M118" i="4"/>
  <c r="L118" i="4"/>
  <c r="M117" i="4"/>
  <c r="L117" i="4"/>
  <c r="M116" i="4"/>
  <c r="L116" i="4"/>
  <c r="M115" i="4"/>
  <c r="L115" i="4"/>
  <c r="M114" i="4"/>
  <c r="L114" i="4"/>
  <c r="M113" i="4"/>
  <c r="L113" i="4"/>
  <c r="M110" i="4"/>
  <c r="L110" i="4"/>
  <c r="M109" i="4"/>
  <c r="L109" i="4"/>
  <c r="M108" i="4"/>
  <c r="L108" i="4"/>
  <c r="M107" i="4"/>
  <c r="L107" i="4"/>
  <c r="M106" i="4"/>
  <c r="L106" i="4"/>
  <c r="M105" i="4"/>
  <c r="L105" i="4"/>
  <c r="M104" i="4"/>
  <c r="L104" i="4"/>
  <c r="M103" i="4"/>
  <c r="L103" i="4"/>
  <c r="M102" i="4"/>
  <c r="L102" i="4"/>
  <c r="M101" i="4"/>
  <c r="L101" i="4"/>
  <c r="M98" i="4"/>
  <c r="L98" i="4"/>
  <c r="M97" i="4"/>
  <c r="L97" i="4"/>
  <c r="M96" i="4"/>
  <c r="L96" i="4"/>
  <c r="M95" i="4"/>
  <c r="L95" i="4"/>
  <c r="M94" i="4"/>
  <c r="L94" i="4"/>
  <c r="M93" i="4"/>
  <c r="L93" i="4"/>
  <c r="M92" i="4"/>
  <c r="L92" i="4"/>
  <c r="M91" i="4"/>
  <c r="L91" i="4"/>
  <c r="M90" i="4"/>
  <c r="L90" i="4"/>
  <c r="M89" i="4"/>
  <c r="L89" i="4"/>
  <c r="M86" i="4"/>
  <c r="L86" i="4"/>
  <c r="M85" i="4"/>
  <c r="L85" i="4"/>
  <c r="M84" i="4"/>
  <c r="L84" i="4"/>
  <c r="M83" i="4"/>
  <c r="L83" i="4"/>
  <c r="M82" i="4"/>
  <c r="L82" i="4"/>
  <c r="M81" i="4"/>
  <c r="L81" i="4"/>
  <c r="M80" i="4"/>
  <c r="L80" i="4"/>
  <c r="M79" i="4"/>
  <c r="L79" i="4"/>
  <c r="M78" i="4"/>
  <c r="L78" i="4"/>
  <c r="M77" i="4"/>
  <c r="L77" i="4"/>
  <c r="M74" i="4"/>
  <c r="L74" i="4"/>
  <c r="M73" i="4"/>
  <c r="L73" i="4"/>
  <c r="M72" i="4"/>
  <c r="L72" i="4"/>
  <c r="M71" i="4"/>
  <c r="L71" i="4"/>
  <c r="M70" i="4"/>
  <c r="L70" i="4"/>
  <c r="M69" i="4"/>
  <c r="L69" i="4"/>
  <c r="M68" i="4"/>
  <c r="L68" i="4"/>
  <c r="M67" i="4"/>
  <c r="L67" i="4"/>
  <c r="M66" i="4"/>
  <c r="L66" i="4"/>
  <c r="M65" i="4"/>
  <c r="L65" i="4"/>
  <c r="M62" i="4"/>
  <c r="L62" i="4"/>
  <c r="M61" i="4"/>
  <c r="L61" i="4"/>
  <c r="M60" i="4"/>
  <c r="L60" i="4"/>
  <c r="M59" i="4"/>
  <c r="L59" i="4"/>
  <c r="M58" i="4"/>
  <c r="L58" i="4"/>
  <c r="M57" i="4"/>
  <c r="L57" i="4"/>
  <c r="M56" i="4"/>
  <c r="L56" i="4"/>
  <c r="M55" i="4"/>
  <c r="L55" i="4"/>
  <c r="M54" i="4"/>
  <c r="L54" i="4"/>
  <c r="M53" i="4"/>
  <c r="L53" i="4"/>
  <c r="M50" i="4"/>
  <c r="L50" i="4"/>
  <c r="M49" i="4"/>
  <c r="L49" i="4"/>
  <c r="M48" i="4"/>
  <c r="L48" i="4"/>
  <c r="M47" i="4"/>
  <c r="L47" i="4"/>
  <c r="M46" i="4"/>
  <c r="L46" i="4"/>
  <c r="M45" i="4"/>
  <c r="L45" i="4"/>
  <c r="M44" i="4"/>
  <c r="L44" i="4"/>
  <c r="M43" i="4"/>
  <c r="L43" i="4"/>
  <c r="M42" i="4"/>
  <c r="L42" i="4"/>
  <c r="M41" i="4"/>
  <c r="L41" i="4"/>
  <c r="M38" i="4"/>
  <c r="L38" i="4"/>
  <c r="M37" i="4"/>
  <c r="L37" i="4"/>
  <c r="M36" i="4"/>
  <c r="L36" i="4"/>
  <c r="M35" i="4"/>
  <c r="L35" i="4"/>
  <c r="M34" i="4"/>
  <c r="L34" i="4"/>
  <c r="M33" i="4"/>
  <c r="L33" i="4"/>
  <c r="M32" i="4"/>
  <c r="L32" i="4"/>
  <c r="M31" i="4"/>
  <c r="L31" i="4"/>
  <c r="M30" i="4"/>
  <c r="L30" i="4"/>
  <c r="M29" i="4"/>
  <c r="L29" i="4"/>
  <c r="M26" i="4"/>
  <c r="L26" i="4"/>
  <c r="M25" i="4"/>
  <c r="L25" i="4"/>
  <c r="M24" i="4"/>
  <c r="L24" i="4"/>
  <c r="M23" i="4"/>
  <c r="L23" i="4"/>
  <c r="M22" i="4"/>
  <c r="L22" i="4"/>
  <c r="M21" i="4"/>
  <c r="L21" i="4"/>
  <c r="M20" i="4"/>
  <c r="L20" i="4"/>
  <c r="M19" i="4"/>
  <c r="L19" i="4"/>
  <c r="M18" i="4"/>
  <c r="L18" i="4"/>
  <c r="M17" i="4"/>
  <c r="L17" i="4"/>
  <c r="M14" i="4"/>
  <c r="M13" i="4"/>
  <c r="L8" i="4"/>
  <c r="M12" i="4"/>
  <c r="M11" i="4"/>
  <c r="M9" i="4"/>
  <c r="M8" i="4"/>
  <c r="M10" i="4"/>
  <c r="M7" i="4"/>
  <c r="M6" i="4"/>
  <c r="M5" i="4"/>
  <c r="L14" i="4"/>
  <c r="L13" i="4"/>
  <c r="L12" i="4"/>
  <c r="L11" i="4"/>
  <c r="L10" i="4"/>
  <c r="L9" i="4"/>
  <c r="L7" i="4"/>
  <c r="L6" i="4"/>
  <c r="L5" i="4"/>
  <c r="B77" i="4" l="1"/>
  <c r="B353" i="4"/>
  <c r="B341" i="4"/>
  <c r="B329" i="4"/>
  <c r="B317" i="4"/>
  <c r="Q362" i="4"/>
  <c r="P362" i="4"/>
  <c r="Q361" i="4"/>
  <c r="P361" i="4"/>
  <c r="Q360" i="4"/>
  <c r="P360" i="4"/>
  <c r="Q359" i="4"/>
  <c r="P359" i="4"/>
  <c r="Q358" i="4"/>
  <c r="P358" i="4"/>
  <c r="Q354" i="4"/>
  <c r="P354" i="4"/>
  <c r="Q353" i="4"/>
  <c r="P353" i="4"/>
  <c r="Q351" i="4"/>
  <c r="P351" i="4"/>
  <c r="Q350" i="4"/>
  <c r="P350" i="4"/>
  <c r="Q349" i="4"/>
  <c r="P349" i="4"/>
  <c r="Q348" i="4"/>
  <c r="P348" i="4"/>
  <c r="Q347" i="4"/>
  <c r="P347" i="4"/>
  <c r="Q346" i="4"/>
  <c r="P346" i="4"/>
  <c r="Q341" i="4"/>
  <c r="P341" i="4"/>
  <c r="Q338" i="4"/>
  <c r="P338" i="4"/>
  <c r="Q337" i="4"/>
  <c r="P337" i="4"/>
  <c r="Q336" i="4"/>
  <c r="P336" i="4"/>
  <c r="Q335" i="4"/>
  <c r="P335" i="4"/>
  <c r="Q334" i="4"/>
  <c r="P334" i="4"/>
  <c r="Q333" i="4"/>
  <c r="P333" i="4"/>
  <c r="Q329" i="4"/>
  <c r="P329" i="4"/>
  <c r="Q326" i="4"/>
  <c r="P326" i="4"/>
  <c r="Q325" i="4"/>
  <c r="P325" i="4"/>
  <c r="Q324" i="4"/>
  <c r="P324" i="4"/>
  <c r="Q323" i="4"/>
  <c r="P323" i="4"/>
  <c r="Q322" i="4"/>
  <c r="P322" i="4"/>
  <c r="Q321" i="4"/>
  <c r="P321" i="4"/>
  <c r="Q317" i="4"/>
  <c r="P317" i="4"/>
  <c r="B305" i="4"/>
  <c r="B293" i="4"/>
  <c r="B281" i="4"/>
  <c r="B269" i="4"/>
  <c r="B257" i="4"/>
  <c r="B245" i="4"/>
  <c r="B233" i="4"/>
  <c r="B221" i="4"/>
  <c r="B209" i="4"/>
  <c r="B197" i="4"/>
  <c r="B185" i="4"/>
  <c r="B173" i="4"/>
  <c r="Q314" i="4"/>
  <c r="P314" i="4"/>
  <c r="Q313" i="4"/>
  <c r="P313" i="4"/>
  <c r="Q312" i="4"/>
  <c r="P312" i="4"/>
  <c r="Q311" i="4"/>
  <c r="P311" i="4"/>
  <c r="Q310" i="4"/>
  <c r="P310" i="4"/>
  <c r="Q309" i="4"/>
  <c r="P309" i="4"/>
  <c r="Q305" i="4"/>
  <c r="P305" i="4"/>
  <c r="Q302" i="4"/>
  <c r="P302" i="4"/>
  <c r="Q301" i="4"/>
  <c r="P301" i="4"/>
  <c r="Q300" i="4"/>
  <c r="P300" i="4"/>
  <c r="Q299" i="4"/>
  <c r="P299" i="4"/>
  <c r="Q298" i="4"/>
  <c r="P298" i="4"/>
  <c r="Q297" i="4"/>
  <c r="P297" i="4"/>
  <c r="Q293" i="4"/>
  <c r="P293" i="4"/>
  <c r="Q290" i="4"/>
  <c r="P290" i="4"/>
  <c r="Q289" i="4"/>
  <c r="P289" i="4"/>
  <c r="Q288" i="4"/>
  <c r="P288" i="4"/>
  <c r="Q287" i="4"/>
  <c r="P287" i="4"/>
  <c r="Q286" i="4"/>
  <c r="P286" i="4"/>
  <c r="Q285" i="4"/>
  <c r="P285" i="4"/>
  <c r="Q281" i="4"/>
  <c r="P281" i="4"/>
  <c r="Q278" i="4"/>
  <c r="P278" i="4"/>
  <c r="Q277" i="4"/>
  <c r="P277" i="4"/>
  <c r="Q276" i="4"/>
  <c r="P276" i="4"/>
  <c r="Q275" i="4"/>
  <c r="P275" i="4"/>
  <c r="Q274" i="4"/>
  <c r="P274" i="4"/>
  <c r="Q273" i="4"/>
  <c r="P273" i="4"/>
  <c r="Q269" i="4"/>
  <c r="P269" i="4"/>
  <c r="Q266" i="4"/>
  <c r="P266" i="4"/>
  <c r="Q265" i="4"/>
  <c r="P265" i="4"/>
  <c r="Q264" i="4"/>
  <c r="P264" i="4"/>
  <c r="Q263" i="4"/>
  <c r="P263" i="4"/>
  <c r="Q262" i="4"/>
  <c r="P262" i="4"/>
  <c r="Q261" i="4"/>
  <c r="P261" i="4"/>
  <c r="Q257" i="4"/>
  <c r="P257" i="4"/>
  <c r="Q254" i="4"/>
  <c r="P254" i="4"/>
  <c r="Q253" i="4"/>
  <c r="P253" i="4"/>
  <c r="Q252" i="4"/>
  <c r="P252" i="4"/>
  <c r="Q251" i="4"/>
  <c r="P251" i="4"/>
  <c r="Q250" i="4"/>
  <c r="P250" i="4"/>
  <c r="Q249" i="4"/>
  <c r="P249" i="4"/>
  <c r="Q245" i="4"/>
  <c r="P245" i="4"/>
  <c r="Q242" i="4"/>
  <c r="P242" i="4"/>
  <c r="Q241" i="4"/>
  <c r="P241" i="4"/>
  <c r="Q240" i="4"/>
  <c r="P240" i="4"/>
  <c r="Q239" i="4"/>
  <c r="P239" i="4"/>
  <c r="Q238" i="4"/>
  <c r="P238" i="4"/>
  <c r="Q234" i="4"/>
  <c r="P234" i="4"/>
  <c r="Q233" i="4"/>
  <c r="P233" i="4"/>
  <c r="Q230" i="4"/>
  <c r="P230" i="4"/>
  <c r="Q229" i="4"/>
  <c r="P229" i="4"/>
  <c r="Q228" i="4"/>
  <c r="P228" i="4"/>
  <c r="Q227" i="4"/>
  <c r="P227" i="4"/>
  <c r="Q223" i="4"/>
  <c r="P223" i="4"/>
  <c r="Q222" i="4"/>
  <c r="P222" i="4"/>
  <c r="Q221" i="4"/>
  <c r="P221" i="4"/>
  <c r="Q218" i="4"/>
  <c r="P218" i="4"/>
  <c r="Q217" i="4"/>
  <c r="P217" i="4"/>
  <c r="Q216" i="4"/>
  <c r="P216" i="4"/>
  <c r="Q215" i="4"/>
  <c r="P215" i="4"/>
  <c r="Q214" i="4"/>
  <c r="P214" i="4"/>
  <c r="Q213" i="4"/>
  <c r="P213" i="4"/>
  <c r="Q209" i="4"/>
  <c r="P209" i="4"/>
  <c r="Q206" i="4"/>
  <c r="P206" i="4"/>
  <c r="Q205" i="4"/>
  <c r="P205" i="4"/>
  <c r="Q204" i="4"/>
  <c r="P204" i="4"/>
  <c r="Q203" i="4"/>
  <c r="P203" i="4"/>
  <c r="Q202" i="4"/>
  <c r="P202" i="4"/>
  <c r="Q201" i="4"/>
  <c r="P201" i="4"/>
  <c r="Q197" i="4"/>
  <c r="P197" i="4"/>
  <c r="Q194" i="4"/>
  <c r="P194" i="4"/>
  <c r="Q193" i="4"/>
  <c r="P193" i="4"/>
  <c r="Q192" i="4"/>
  <c r="P192" i="4"/>
  <c r="Q191" i="4"/>
  <c r="P191" i="4"/>
  <c r="Q190" i="4"/>
  <c r="P190" i="4"/>
  <c r="Q189" i="4"/>
  <c r="P189" i="4"/>
  <c r="Q185" i="4"/>
  <c r="P185" i="4"/>
  <c r="Q182" i="4"/>
  <c r="P182" i="4"/>
  <c r="Q181" i="4"/>
  <c r="P181" i="4"/>
  <c r="Q180" i="4"/>
  <c r="P180" i="4"/>
  <c r="Q179" i="4"/>
  <c r="P179" i="4"/>
  <c r="Q178" i="4"/>
  <c r="P178" i="4"/>
  <c r="Q177" i="4"/>
  <c r="P177" i="4"/>
  <c r="Q173" i="4"/>
  <c r="P173" i="4"/>
  <c r="B161" i="4"/>
  <c r="B149" i="4"/>
  <c r="B137" i="4"/>
  <c r="B125" i="4"/>
  <c r="B113" i="4"/>
  <c r="B101" i="4"/>
  <c r="Q170" i="4"/>
  <c r="P170" i="4"/>
  <c r="Q169" i="4"/>
  <c r="P169" i="4"/>
  <c r="Q168" i="4"/>
  <c r="P168" i="4"/>
  <c r="Q167" i="4"/>
  <c r="P167" i="4"/>
  <c r="Q166" i="4"/>
  <c r="P166" i="4"/>
  <c r="Q165" i="4"/>
  <c r="P165" i="4"/>
  <c r="Q161" i="4"/>
  <c r="P161" i="4"/>
  <c r="Q158" i="4"/>
  <c r="P158" i="4"/>
  <c r="Q157" i="4"/>
  <c r="P157" i="4"/>
  <c r="Q156" i="4"/>
  <c r="P156" i="4"/>
  <c r="Q155" i="4"/>
  <c r="P155" i="4"/>
  <c r="Q154" i="4"/>
  <c r="P154" i="4"/>
  <c r="Q153" i="4"/>
  <c r="P153" i="4"/>
  <c r="Q149" i="4"/>
  <c r="P149" i="4"/>
  <c r="Q146" i="4"/>
  <c r="P146" i="4"/>
  <c r="Q145" i="4"/>
  <c r="P145" i="4"/>
  <c r="Q144" i="4"/>
  <c r="P144" i="4"/>
  <c r="Q143" i="4"/>
  <c r="P143" i="4"/>
  <c r="Q142" i="4"/>
  <c r="P142" i="4"/>
  <c r="Q141" i="4"/>
  <c r="P141" i="4"/>
  <c r="Q137" i="4"/>
  <c r="P137" i="4"/>
  <c r="Q134" i="4"/>
  <c r="P134" i="4"/>
  <c r="Q133" i="4"/>
  <c r="P133" i="4"/>
  <c r="Q132" i="4"/>
  <c r="P132" i="4"/>
  <c r="Q131" i="4"/>
  <c r="P131" i="4"/>
  <c r="Q130" i="4"/>
  <c r="P130" i="4"/>
  <c r="Q129" i="4"/>
  <c r="P129" i="4"/>
  <c r="Q125" i="4"/>
  <c r="P125" i="4"/>
  <c r="Q122" i="4"/>
  <c r="P122" i="4"/>
  <c r="Q121" i="4"/>
  <c r="P121" i="4"/>
  <c r="Q120" i="4"/>
  <c r="P120" i="4"/>
  <c r="Q119" i="4"/>
  <c r="P119" i="4"/>
  <c r="Q118" i="4"/>
  <c r="P118" i="4"/>
  <c r="Q117" i="4"/>
  <c r="P117" i="4"/>
  <c r="Q113" i="4"/>
  <c r="P113" i="4"/>
  <c r="Q110" i="4"/>
  <c r="P110" i="4"/>
  <c r="Q109" i="4"/>
  <c r="P109" i="4"/>
  <c r="Q108" i="4"/>
  <c r="P108" i="4"/>
  <c r="Q107" i="4"/>
  <c r="P107" i="4"/>
  <c r="Q106" i="4"/>
  <c r="P106" i="4"/>
  <c r="Q105" i="4"/>
  <c r="P105" i="4"/>
  <c r="Q101" i="4"/>
  <c r="P101" i="4"/>
  <c r="B89" i="4"/>
  <c r="B53" i="4"/>
  <c r="B41" i="4"/>
  <c r="Q98" i="4"/>
  <c r="P98" i="4"/>
  <c r="Q97" i="4"/>
  <c r="P97" i="4"/>
  <c r="Q96" i="4"/>
  <c r="P96" i="4"/>
  <c r="Q95" i="4"/>
  <c r="P95" i="4"/>
  <c r="Q94" i="4"/>
  <c r="P94" i="4"/>
  <c r="Q93" i="4"/>
  <c r="P93" i="4"/>
  <c r="Q89" i="4"/>
  <c r="P89" i="4"/>
  <c r="Q86" i="4"/>
  <c r="P86" i="4"/>
  <c r="Q85" i="4"/>
  <c r="P85" i="4"/>
  <c r="Q84" i="4"/>
  <c r="P84" i="4"/>
  <c r="Q83" i="4"/>
  <c r="P83" i="4"/>
  <c r="Q82" i="4"/>
  <c r="P82" i="4"/>
  <c r="Q81" i="4"/>
  <c r="P81" i="4"/>
  <c r="Q77" i="4"/>
  <c r="P77" i="4"/>
  <c r="Q74" i="4"/>
  <c r="P74" i="4"/>
  <c r="Q73" i="4"/>
  <c r="P73" i="4"/>
  <c r="Q72" i="4"/>
  <c r="P72" i="4"/>
  <c r="Q71" i="4"/>
  <c r="P71" i="4"/>
  <c r="Q70" i="4"/>
  <c r="P70" i="4"/>
  <c r="Q69" i="4"/>
  <c r="P69" i="4"/>
  <c r="Q65" i="4"/>
  <c r="P65" i="4"/>
  <c r="Q62" i="4"/>
  <c r="P62" i="4"/>
  <c r="Q61" i="4"/>
  <c r="P61" i="4"/>
  <c r="Q60" i="4"/>
  <c r="P60" i="4"/>
  <c r="Q59" i="4"/>
  <c r="P59" i="4"/>
  <c r="Q58" i="4"/>
  <c r="P58" i="4"/>
  <c r="Q57" i="4"/>
  <c r="P57" i="4"/>
  <c r="Q53" i="4"/>
  <c r="P53" i="4"/>
  <c r="Q50" i="4"/>
  <c r="P50" i="4"/>
  <c r="Q49" i="4"/>
  <c r="P49" i="4"/>
  <c r="Q48" i="4"/>
  <c r="P48" i="4"/>
  <c r="Q47" i="4"/>
  <c r="P47" i="4"/>
  <c r="Q46" i="4"/>
  <c r="P46" i="4"/>
  <c r="Q45" i="4"/>
  <c r="P45" i="4"/>
  <c r="Q41" i="4"/>
  <c r="P41" i="4"/>
  <c r="Q38" i="4"/>
  <c r="P38" i="4"/>
  <c r="Q37" i="4"/>
  <c r="P37" i="4"/>
  <c r="Q36" i="4"/>
  <c r="P36" i="4"/>
  <c r="Q35" i="4"/>
  <c r="P35" i="4"/>
  <c r="Q34" i="4"/>
  <c r="P34" i="4"/>
  <c r="Q33" i="4"/>
  <c r="P33" i="4"/>
  <c r="Q29" i="4"/>
  <c r="P29" i="4"/>
  <c r="Q26" i="4"/>
  <c r="P26" i="4"/>
  <c r="Q25" i="4"/>
  <c r="P25" i="4"/>
  <c r="Q24" i="4"/>
  <c r="P24" i="4"/>
  <c r="Q23" i="4"/>
  <c r="P23" i="4"/>
  <c r="Q22" i="4"/>
  <c r="P22" i="4"/>
  <c r="Q21" i="4"/>
  <c r="P21" i="4"/>
  <c r="Q17" i="4"/>
  <c r="P17" i="4"/>
  <c r="B29" i="4"/>
  <c r="B17" i="4"/>
  <c r="B5" i="4"/>
  <c r="Q7" i="4"/>
  <c r="Q8" i="4"/>
  <c r="Q9" i="4"/>
  <c r="Q11" i="4"/>
  <c r="Q12" i="4"/>
  <c r="Q14" i="4"/>
  <c r="Q5" i="4"/>
  <c r="P7" i="4"/>
  <c r="P8" i="4"/>
  <c r="P9" i="4"/>
  <c r="P11" i="4"/>
  <c r="P12" i="4"/>
  <c r="P14" i="4"/>
  <c r="P5" i="4"/>
  <c r="K266" i="4" l="1"/>
  <c r="K264" i="4"/>
  <c r="K262" i="4"/>
  <c r="K260" i="4"/>
  <c r="K258" i="4"/>
  <c r="K265" i="4"/>
  <c r="K263" i="4"/>
  <c r="K261" i="4"/>
  <c r="K259" i="4"/>
  <c r="K257" i="4"/>
  <c r="J261" i="4"/>
  <c r="J266" i="4"/>
  <c r="J258" i="4"/>
  <c r="J263" i="4"/>
  <c r="J259" i="4"/>
  <c r="J260" i="4"/>
  <c r="J265" i="4"/>
  <c r="J257" i="4"/>
  <c r="J262" i="4"/>
  <c r="J264" i="4"/>
  <c r="K182" i="4"/>
  <c r="K180" i="4"/>
  <c r="K178" i="4"/>
  <c r="K176" i="4"/>
  <c r="K174" i="4"/>
  <c r="K181" i="4"/>
  <c r="K179" i="4"/>
  <c r="K177" i="4"/>
  <c r="K175" i="4"/>
  <c r="K173" i="4"/>
  <c r="J175" i="4"/>
  <c r="J180" i="4"/>
  <c r="J177" i="4"/>
  <c r="J182" i="4"/>
  <c r="J174" i="4"/>
  <c r="J179" i="4"/>
  <c r="J173" i="4"/>
  <c r="J176" i="4"/>
  <c r="J181" i="4"/>
  <c r="J178" i="4"/>
  <c r="K278" i="4"/>
  <c r="K276" i="4"/>
  <c r="K274" i="4"/>
  <c r="K272" i="4"/>
  <c r="K270" i="4"/>
  <c r="K277" i="4"/>
  <c r="K275" i="4"/>
  <c r="K273" i="4"/>
  <c r="K271" i="4"/>
  <c r="K269" i="4"/>
  <c r="J271" i="4"/>
  <c r="J276" i="4"/>
  <c r="J273" i="4"/>
  <c r="J269" i="4"/>
  <c r="J278" i="4"/>
  <c r="J270" i="4"/>
  <c r="J277" i="4"/>
  <c r="J275" i="4"/>
  <c r="J272" i="4"/>
  <c r="J274" i="4"/>
  <c r="K85" i="4"/>
  <c r="K83" i="4"/>
  <c r="K81" i="4"/>
  <c r="K79" i="4"/>
  <c r="K77" i="4"/>
  <c r="J85" i="4"/>
  <c r="J83" i="4"/>
  <c r="J81" i="4"/>
  <c r="J79" i="4"/>
  <c r="J77" i="4"/>
  <c r="K86" i="4"/>
  <c r="K84" i="4"/>
  <c r="K82" i="4"/>
  <c r="K80" i="4"/>
  <c r="K78" i="4"/>
  <c r="J86" i="4"/>
  <c r="J84" i="4"/>
  <c r="J82" i="4"/>
  <c r="J80" i="4"/>
  <c r="J78" i="4"/>
  <c r="J361" i="4"/>
  <c r="J359" i="4"/>
  <c r="J357" i="4"/>
  <c r="J355" i="4"/>
  <c r="J353" i="4"/>
  <c r="J362" i="4"/>
  <c r="J360" i="4"/>
  <c r="J358" i="4"/>
  <c r="J356" i="4"/>
  <c r="J354" i="4"/>
  <c r="K358" i="4"/>
  <c r="K355" i="4"/>
  <c r="K360" i="4"/>
  <c r="K357" i="4"/>
  <c r="K359" i="4"/>
  <c r="K356" i="4"/>
  <c r="K353" i="4"/>
  <c r="K354" i="4"/>
  <c r="K362" i="4"/>
  <c r="K361" i="4"/>
  <c r="K194" i="4"/>
  <c r="K192" i="4"/>
  <c r="K190" i="4"/>
  <c r="K188" i="4"/>
  <c r="K186" i="4"/>
  <c r="K193" i="4"/>
  <c r="K191" i="4"/>
  <c r="K189" i="4"/>
  <c r="K187" i="4"/>
  <c r="K185" i="4"/>
  <c r="J193" i="4"/>
  <c r="J185" i="4"/>
  <c r="J190" i="4"/>
  <c r="J187" i="4"/>
  <c r="J192" i="4"/>
  <c r="J191" i="4"/>
  <c r="J189" i="4"/>
  <c r="J194" i="4"/>
  <c r="J186" i="4"/>
  <c r="J188" i="4"/>
  <c r="K290" i="4"/>
  <c r="K288" i="4"/>
  <c r="K286" i="4"/>
  <c r="K284" i="4"/>
  <c r="K282" i="4"/>
  <c r="K289" i="4"/>
  <c r="K287" i="4"/>
  <c r="K285" i="4"/>
  <c r="K283" i="4"/>
  <c r="K281" i="4"/>
  <c r="J289" i="4"/>
  <c r="J281" i="4"/>
  <c r="J286" i="4"/>
  <c r="J283" i="4"/>
  <c r="J287" i="4"/>
  <c r="J288" i="4"/>
  <c r="J285" i="4"/>
  <c r="J290" i="4"/>
  <c r="J282" i="4"/>
  <c r="J284" i="4"/>
  <c r="K158" i="4"/>
  <c r="K156" i="4"/>
  <c r="K154" i="4"/>
  <c r="K152" i="4"/>
  <c r="K157" i="4"/>
  <c r="K155" i="4"/>
  <c r="K153" i="4"/>
  <c r="K150" i="4"/>
  <c r="J152" i="4"/>
  <c r="J150" i="4"/>
  <c r="J157" i="4"/>
  <c r="J153" i="4"/>
  <c r="J154" i="4"/>
  <c r="K151" i="4"/>
  <c r="K149" i="4"/>
  <c r="J156" i="4"/>
  <c r="J151" i="4"/>
  <c r="J149" i="4"/>
  <c r="J158" i="4"/>
  <c r="J155" i="4"/>
  <c r="K254" i="4"/>
  <c r="K252" i="4"/>
  <c r="K250" i="4"/>
  <c r="K248" i="4"/>
  <c r="K246" i="4"/>
  <c r="K253" i="4"/>
  <c r="K251" i="4"/>
  <c r="K249" i="4"/>
  <c r="K247" i="4"/>
  <c r="K245" i="4"/>
  <c r="J251" i="4"/>
  <c r="J248" i="4"/>
  <c r="J253" i="4"/>
  <c r="J245" i="4"/>
  <c r="J250" i="4"/>
  <c r="J247" i="4"/>
  <c r="J249" i="4"/>
  <c r="J252" i="4"/>
  <c r="J254" i="4"/>
  <c r="J246" i="4"/>
  <c r="J301" i="4"/>
  <c r="J299" i="4"/>
  <c r="J297" i="4"/>
  <c r="J295" i="4"/>
  <c r="J302" i="4"/>
  <c r="J300" i="4"/>
  <c r="J298" i="4"/>
  <c r="J296" i="4"/>
  <c r="K297" i="4"/>
  <c r="K302" i="4"/>
  <c r="K294" i="4"/>
  <c r="K301" i="4"/>
  <c r="K298" i="4"/>
  <c r="K293" i="4"/>
  <c r="K296" i="4"/>
  <c r="K299" i="4"/>
  <c r="J293" i="4"/>
  <c r="K295" i="4"/>
  <c r="K300" i="4"/>
  <c r="J294" i="4"/>
  <c r="K218" i="4"/>
  <c r="K216" i="4"/>
  <c r="K214" i="4"/>
  <c r="K212" i="4"/>
  <c r="K210" i="4"/>
  <c r="K217" i="4"/>
  <c r="K215" i="4"/>
  <c r="K213" i="4"/>
  <c r="K211" i="4"/>
  <c r="K209" i="4"/>
  <c r="J213" i="4"/>
  <c r="J218" i="4"/>
  <c r="J210" i="4"/>
  <c r="J215" i="4"/>
  <c r="J212" i="4"/>
  <c r="J217" i="4"/>
  <c r="J209" i="4"/>
  <c r="J211" i="4"/>
  <c r="J214" i="4"/>
  <c r="J216" i="4"/>
  <c r="J313" i="4"/>
  <c r="J311" i="4"/>
  <c r="J309" i="4"/>
  <c r="J307" i="4"/>
  <c r="J305" i="4"/>
  <c r="J314" i="4"/>
  <c r="J312" i="4"/>
  <c r="J310" i="4"/>
  <c r="J308" i="4"/>
  <c r="J306" i="4"/>
  <c r="K307" i="4"/>
  <c r="K312" i="4"/>
  <c r="K311" i="4"/>
  <c r="K308" i="4"/>
  <c r="K305" i="4"/>
  <c r="K314" i="4"/>
  <c r="K310" i="4"/>
  <c r="K313" i="4"/>
  <c r="K309" i="4"/>
  <c r="K306" i="4"/>
  <c r="K230" i="4"/>
  <c r="K228" i="4"/>
  <c r="K226" i="4"/>
  <c r="K224" i="4"/>
  <c r="K222" i="4"/>
  <c r="K229" i="4"/>
  <c r="K227" i="4"/>
  <c r="K225" i="4"/>
  <c r="K223" i="4"/>
  <c r="K221" i="4"/>
  <c r="J223" i="4"/>
  <c r="J228" i="4"/>
  <c r="J225" i="4"/>
  <c r="J229" i="4"/>
  <c r="J230" i="4"/>
  <c r="J222" i="4"/>
  <c r="J227" i="4"/>
  <c r="J221" i="4"/>
  <c r="J224" i="4"/>
  <c r="J226" i="4"/>
  <c r="J325" i="4"/>
  <c r="J323" i="4"/>
  <c r="J321" i="4"/>
  <c r="J319" i="4"/>
  <c r="J317" i="4"/>
  <c r="J326" i="4"/>
  <c r="J324" i="4"/>
  <c r="J322" i="4"/>
  <c r="J320" i="4"/>
  <c r="J318" i="4"/>
  <c r="K325" i="4"/>
  <c r="K317" i="4"/>
  <c r="K322" i="4"/>
  <c r="K321" i="4"/>
  <c r="K326" i="4"/>
  <c r="K318" i="4"/>
  <c r="K323" i="4"/>
  <c r="K319" i="4"/>
  <c r="K324" i="4"/>
  <c r="K320" i="4"/>
  <c r="K170" i="4"/>
  <c r="K168" i="4"/>
  <c r="K166" i="4"/>
  <c r="K164" i="4"/>
  <c r="K162" i="4"/>
  <c r="K169" i="4"/>
  <c r="K167" i="4"/>
  <c r="K165" i="4"/>
  <c r="K163" i="4"/>
  <c r="K161" i="4"/>
  <c r="J170" i="4"/>
  <c r="J162" i="4"/>
  <c r="J167" i="4"/>
  <c r="J163" i="4"/>
  <c r="J164" i="4"/>
  <c r="J169" i="4"/>
  <c r="J161" i="4"/>
  <c r="J166" i="4"/>
  <c r="J168" i="4"/>
  <c r="J165" i="4"/>
  <c r="K109" i="4"/>
  <c r="K107" i="4"/>
  <c r="K105" i="4"/>
  <c r="K103" i="4"/>
  <c r="K101" i="4"/>
  <c r="J109" i="4"/>
  <c r="J107" i="4"/>
  <c r="J105" i="4"/>
  <c r="J103" i="4"/>
  <c r="J101" i="4"/>
  <c r="K110" i="4"/>
  <c r="K108" i="4"/>
  <c r="K106" i="4"/>
  <c r="K104" i="4"/>
  <c r="K102" i="4"/>
  <c r="J110" i="4"/>
  <c r="J108" i="4"/>
  <c r="J106" i="4"/>
  <c r="J104" i="4"/>
  <c r="J102" i="4"/>
  <c r="K206" i="4"/>
  <c r="K204" i="4"/>
  <c r="K202" i="4"/>
  <c r="K200" i="4"/>
  <c r="K198" i="4"/>
  <c r="K205" i="4"/>
  <c r="K203" i="4"/>
  <c r="K201" i="4"/>
  <c r="K199" i="4"/>
  <c r="K197" i="4"/>
  <c r="J203" i="4"/>
  <c r="J200" i="4"/>
  <c r="J205" i="4"/>
  <c r="J197" i="4"/>
  <c r="J202" i="4"/>
  <c r="J199" i="4"/>
  <c r="J201" i="4"/>
  <c r="J204" i="4"/>
  <c r="J206" i="4"/>
  <c r="J198" i="4"/>
  <c r="K121" i="4"/>
  <c r="K119" i="4"/>
  <c r="K117" i="4"/>
  <c r="K115" i="4"/>
  <c r="K113" i="4"/>
  <c r="J121" i="4"/>
  <c r="J119" i="4"/>
  <c r="J117" i="4"/>
  <c r="J115" i="4"/>
  <c r="J113" i="4"/>
  <c r="K122" i="4"/>
  <c r="K120" i="4"/>
  <c r="K118" i="4"/>
  <c r="K116" i="4"/>
  <c r="K114" i="4"/>
  <c r="J122" i="4"/>
  <c r="J120" i="4"/>
  <c r="J118" i="4"/>
  <c r="J116" i="4"/>
  <c r="J114" i="4"/>
  <c r="K97" i="4"/>
  <c r="K95" i="4"/>
  <c r="K93" i="4"/>
  <c r="K91" i="4"/>
  <c r="K89" i="4"/>
  <c r="J97" i="4"/>
  <c r="J95" i="4"/>
  <c r="J93" i="4"/>
  <c r="J91" i="4"/>
  <c r="J89" i="4"/>
  <c r="K98" i="4"/>
  <c r="K96" i="4"/>
  <c r="K94" i="4"/>
  <c r="K92" i="4"/>
  <c r="K90" i="4"/>
  <c r="J98" i="4"/>
  <c r="J96" i="4"/>
  <c r="J94" i="4"/>
  <c r="J92" i="4"/>
  <c r="J90" i="4"/>
  <c r="K146" i="4"/>
  <c r="K144" i="4"/>
  <c r="K142" i="4"/>
  <c r="K140" i="4"/>
  <c r="K138" i="4"/>
  <c r="J146" i="4"/>
  <c r="J144" i="4"/>
  <c r="J142" i="4"/>
  <c r="J140" i="4"/>
  <c r="J138" i="4"/>
  <c r="K145" i="4"/>
  <c r="K143" i="4"/>
  <c r="K141" i="4"/>
  <c r="K139" i="4"/>
  <c r="K137" i="4"/>
  <c r="J145" i="4"/>
  <c r="J143" i="4"/>
  <c r="J141" i="4"/>
  <c r="J139" i="4"/>
  <c r="J137" i="4"/>
  <c r="K242" i="4"/>
  <c r="K240" i="4"/>
  <c r="K238" i="4"/>
  <c r="K236" i="4"/>
  <c r="K234" i="4"/>
  <c r="K241" i="4"/>
  <c r="K239" i="4"/>
  <c r="K237" i="4"/>
  <c r="K235" i="4"/>
  <c r="K233" i="4"/>
  <c r="J241" i="4"/>
  <c r="J233" i="4"/>
  <c r="J238" i="4"/>
  <c r="J235" i="4"/>
  <c r="J240" i="4"/>
  <c r="J237" i="4"/>
  <c r="J239" i="4"/>
  <c r="J242" i="4"/>
  <c r="J234" i="4"/>
  <c r="J236" i="4"/>
  <c r="J337" i="4"/>
  <c r="J335" i="4"/>
  <c r="J333" i="4"/>
  <c r="J331" i="4"/>
  <c r="J329" i="4"/>
  <c r="J338" i="4"/>
  <c r="J336" i="4"/>
  <c r="J334" i="4"/>
  <c r="J332" i="4"/>
  <c r="J330" i="4"/>
  <c r="K338" i="4"/>
  <c r="K330" i="4"/>
  <c r="K335" i="4"/>
  <c r="K332" i="4"/>
  <c r="K337" i="4"/>
  <c r="K331" i="4"/>
  <c r="K336" i="4"/>
  <c r="K334" i="4"/>
  <c r="K333" i="4"/>
  <c r="K329" i="4"/>
  <c r="J349" i="4"/>
  <c r="J347" i="4"/>
  <c r="J345" i="4"/>
  <c r="J343" i="4"/>
  <c r="J341" i="4"/>
  <c r="J350" i="4"/>
  <c r="J348" i="4"/>
  <c r="J346" i="4"/>
  <c r="J344" i="4"/>
  <c r="J342" i="4"/>
  <c r="K348" i="4"/>
  <c r="K345" i="4"/>
  <c r="K350" i="4"/>
  <c r="K342" i="4"/>
  <c r="K347" i="4"/>
  <c r="K349" i="4"/>
  <c r="K341" i="4"/>
  <c r="K346" i="4"/>
  <c r="K344" i="4"/>
  <c r="K343" i="4"/>
  <c r="J50" i="4"/>
  <c r="J48" i="4"/>
  <c r="J46" i="4"/>
  <c r="J44" i="4"/>
  <c r="J42" i="4"/>
  <c r="K47" i="4"/>
  <c r="K49" i="4"/>
  <c r="K45" i="4"/>
  <c r="K43" i="4"/>
  <c r="K41" i="4"/>
  <c r="J49" i="4"/>
  <c r="J47" i="4"/>
  <c r="J45" i="4"/>
  <c r="J43" i="4"/>
  <c r="J41" i="4"/>
  <c r="K50" i="4"/>
  <c r="K48" i="4"/>
  <c r="K46" i="4"/>
  <c r="K44" i="4"/>
  <c r="K42" i="4"/>
  <c r="K38" i="4"/>
  <c r="K32" i="4"/>
  <c r="J32" i="4"/>
  <c r="J38" i="4"/>
  <c r="J30" i="4"/>
  <c r="K35" i="4"/>
  <c r="K29" i="4"/>
  <c r="J35" i="4"/>
  <c r="K33" i="4"/>
  <c r="J29" i="4"/>
  <c r="K37" i="4"/>
  <c r="K31" i="4"/>
  <c r="J33" i="4"/>
  <c r="J37" i="4"/>
  <c r="J31" i="4"/>
  <c r="K36" i="4"/>
  <c r="K30" i="4"/>
  <c r="K34" i="4"/>
  <c r="J36" i="4"/>
  <c r="K25" i="4"/>
  <c r="K23" i="4"/>
  <c r="K21" i="4"/>
  <c r="K19" i="4"/>
  <c r="K17" i="4"/>
  <c r="K26" i="4"/>
  <c r="J25" i="4"/>
  <c r="J23" i="4"/>
  <c r="J21" i="4"/>
  <c r="J19" i="4"/>
  <c r="J17" i="4"/>
  <c r="K24" i="4"/>
  <c r="K18" i="4"/>
  <c r="J24" i="4"/>
  <c r="J18" i="4"/>
  <c r="K22" i="4"/>
  <c r="J26" i="4"/>
  <c r="K20" i="4"/>
  <c r="J20" i="4"/>
  <c r="K56" i="4"/>
  <c r="K60" i="4"/>
  <c r="J62" i="4"/>
  <c r="J60" i="4"/>
  <c r="J58" i="4"/>
  <c r="K57" i="4"/>
  <c r="K53" i="4"/>
  <c r="K61" i="4"/>
  <c r="K55" i="4"/>
  <c r="K59" i="4"/>
  <c r="J61" i="4"/>
  <c r="J59" i="4"/>
  <c r="J57" i="4"/>
  <c r="J55" i="4"/>
  <c r="K62" i="4"/>
  <c r="K58" i="4"/>
  <c r="K54" i="4"/>
  <c r="J133" i="4"/>
  <c r="J131" i="4"/>
  <c r="J129" i="4"/>
  <c r="J127" i="4"/>
  <c r="K131" i="4"/>
  <c r="K125" i="4"/>
  <c r="K133" i="4"/>
  <c r="K129" i="4"/>
  <c r="K134" i="4"/>
  <c r="K132" i="4"/>
  <c r="K130" i="4"/>
  <c r="K128" i="4"/>
  <c r="K126" i="4"/>
  <c r="J134" i="4"/>
  <c r="J132" i="4"/>
  <c r="J130" i="4"/>
  <c r="K127" i="4"/>
  <c r="E5" i="4"/>
  <c r="C173" i="4"/>
  <c r="F257" i="4"/>
  <c r="B65" i="4"/>
  <c r="E125" i="4"/>
  <c r="C317" i="4"/>
  <c r="C89" i="4"/>
  <c r="D317" i="4"/>
  <c r="E89" i="4"/>
  <c r="D233" i="4"/>
  <c r="E317" i="4"/>
  <c r="C53" i="4"/>
  <c r="D161" i="4"/>
  <c r="E161" i="4"/>
  <c r="C329" i="4"/>
  <c r="D329" i="4"/>
  <c r="E329" i="4"/>
  <c r="C353" i="4"/>
  <c r="D353" i="4"/>
  <c r="E353" i="4"/>
  <c r="F353" i="4"/>
  <c r="C341" i="4"/>
  <c r="D341" i="4"/>
  <c r="E341" i="4"/>
  <c r="F341" i="4"/>
  <c r="F329" i="4"/>
  <c r="F317" i="4"/>
  <c r="E293" i="4"/>
  <c r="D257" i="4"/>
  <c r="E257" i="4"/>
  <c r="C185" i="4"/>
  <c r="E173" i="4"/>
  <c r="D173" i="4"/>
  <c r="C305" i="4"/>
  <c r="D305" i="4"/>
  <c r="E305" i="4"/>
  <c r="F305" i="4"/>
  <c r="C293" i="4"/>
  <c r="D293" i="4"/>
  <c r="F293" i="4"/>
  <c r="C281" i="4"/>
  <c r="E281" i="4"/>
  <c r="D281" i="4"/>
  <c r="F281" i="4"/>
  <c r="C269" i="4"/>
  <c r="D269" i="4"/>
  <c r="E269" i="4"/>
  <c r="F269" i="4"/>
  <c r="C257" i="4"/>
  <c r="D245" i="4"/>
  <c r="E245" i="4"/>
  <c r="C245" i="4"/>
  <c r="F245" i="4"/>
  <c r="C233" i="4"/>
  <c r="E233" i="4"/>
  <c r="F233" i="4"/>
  <c r="C221" i="4"/>
  <c r="D221" i="4"/>
  <c r="E221" i="4"/>
  <c r="F221" i="4"/>
  <c r="C209" i="4"/>
  <c r="D209" i="4"/>
  <c r="E209" i="4"/>
  <c r="F209" i="4"/>
  <c r="C197" i="4"/>
  <c r="D197" i="4"/>
  <c r="E197" i="4"/>
  <c r="F197" i="4"/>
  <c r="D185" i="4"/>
  <c r="E185" i="4"/>
  <c r="F185" i="4"/>
  <c r="F173" i="4"/>
  <c r="D89" i="4"/>
  <c r="F89" i="4"/>
  <c r="C161" i="4"/>
  <c r="F161" i="4"/>
  <c r="C149" i="4"/>
  <c r="D149" i="4"/>
  <c r="E149" i="4"/>
  <c r="F149" i="4"/>
  <c r="D137" i="4"/>
  <c r="E137" i="4"/>
  <c r="C137" i="4"/>
  <c r="F137" i="4"/>
  <c r="C125" i="4"/>
  <c r="D125" i="4"/>
  <c r="F125" i="4"/>
  <c r="C113" i="4"/>
  <c r="E113" i="4"/>
  <c r="D113" i="4"/>
  <c r="F113" i="4"/>
  <c r="C101" i="4"/>
  <c r="D101" i="4"/>
  <c r="E101" i="4"/>
  <c r="F101" i="4"/>
  <c r="C77" i="4"/>
  <c r="D77" i="4"/>
  <c r="E77" i="4"/>
  <c r="F77" i="4"/>
  <c r="E53" i="4"/>
  <c r="F53" i="4"/>
  <c r="D53" i="4"/>
  <c r="C41" i="4"/>
  <c r="F41" i="4"/>
  <c r="D41" i="4"/>
  <c r="E41" i="4"/>
  <c r="E17" i="4"/>
  <c r="F17" i="4"/>
  <c r="C5" i="4"/>
  <c r="C29" i="4"/>
  <c r="F5" i="4"/>
  <c r="D29" i="4"/>
  <c r="C17" i="4"/>
  <c r="E29" i="4"/>
  <c r="D5" i="4"/>
  <c r="D17" i="4"/>
  <c r="F29" i="4"/>
  <c r="AJ14" i="2"/>
  <c r="AK14" i="2" l="1"/>
  <c r="J7" i="23"/>
  <c r="K74" i="4"/>
  <c r="K66" i="4"/>
  <c r="K70" i="4"/>
  <c r="J74" i="4"/>
  <c r="J72" i="4"/>
  <c r="J70" i="4"/>
  <c r="K69" i="4"/>
  <c r="K71" i="4"/>
  <c r="K73" i="4"/>
  <c r="K67" i="4"/>
  <c r="K65" i="4"/>
  <c r="J73" i="4"/>
  <c r="J71" i="4"/>
  <c r="J69" i="4"/>
  <c r="J67" i="4"/>
  <c r="K72" i="4"/>
  <c r="K68" i="4"/>
  <c r="F65" i="4"/>
  <c r="E65" i="4"/>
  <c r="D65" i="4"/>
  <c r="C65" i="4"/>
  <c r="AM14" i="2"/>
  <c r="AN14" i="2"/>
  <c r="J66" i="4"/>
  <c r="AW14" i="2" l="1"/>
  <c r="J10" i="23"/>
  <c r="AO14" i="2"/>
  <c r="J8" i="23"/>
  <c r="L7" i="23"/>
  <c r="I7" i="23"/>
  <c r="J14" i="4"/>
  <c r="J126" i="4"/>
  <c r="J56" i="4"/>
  <c r="J54" i="4"/>
  <c r="K6" i="4"/>
  <c r="J6" i="4"/>
  <c r="J12" i="4"/>
  <c r="AE14" i="2"/>
  <c r="AU14" i="2"/>
  <c r="AQ14" i="2"/>
  <c r="AY14" i="2"/>
  <c r="AI14" i="2"/>
  <c r="Z10" i="21"/>
  <c r="O10" i="6"/>
  <c r="AF10" i="19"/>
  <c r="AI10" i="19"/>
  <c r="H10" i="20"/>
  <c r="N10" i="19"/>
  <c r="W10" i="19"/>
  <c r="N10" i="21"/>
  <c r="T10" i="21"/>
  <c r="E10" i="19"/>
  <c r="J10" i="6"/>
  <c r="Q10" i="19"/>
  <c r="H10" i="19"/>
  <c r="E10" i="20"/>
  <c r="H10" i="21"/>
  <c r="Y10" i="20"/>
  <c r="E10" i="21"/>
  <c r="V10" i="20"/>
  <c r="AG10" i="20"/>
  <c r="Z10" i="19"/>
  <c r="I10" i="21" l="1"/>
  <c r="O10" i="21"/>
  <c r="AA10" i="21"/>
  <c r="U10" i="21"/>
  <c r="F10" i="21"/>
  <c r="I10" i="20"/>
  <c r="Z10" i="20"/>
  <c r="AH10" i="20"/>
  <c r="L10" i="23"/>
  <c r="L17" i="23"/>
  <c r="L8" i="23"/>
  <c r="L11" i="23"/>
  <c r="L9" i="23"/>
  <c r="L5" i="23"/>
  <c r="L6" i="23"/>
  <c r="I8" i="23"/>
  <c r="I10" i="23"/>
  <c r="W10" i="20"/>
  <c r="F10" i="20"/>
  <c r="X10" i="19"/>
  <c r="AG10" i="19"/>
  <c r="O10" i="19"/>
  <c r="F10" i="19"/>
  <c r="I10" i="19"/>
  <c r="AJ10" i="19"/>
  <c r="R10" i="19"/>
  <c r="AA10" i="19"/>
  <c r="P10" i="6"/>
  <c r="K10" i="6"/>
  <c r="J22" i="4"/>
  <c r="J34" i="4"/>
  <c r="K10" i="4"/>
  <c r="J8" i="4"/>
  <c r="K14" i="4"/>
  <c r="K11" i="4"/>
  <c r="K13" i="4"/>
  <c r="K7" i="4"/>
  <c r="J11" i="4"/>
  <c r="J7" i="4"/>
  <c r="J10" i="4"/>
  <c r="J13" i="4"/>
  <c r="J128" i="4"/>
  <c r="J68" i="4"/>
  <c r="J125" i="4"/>
  <c r="J65" i="4"/>
  <c r="J53" i="4"/>
  <c r="K8" i="4"/>
  <c r="J9" i="4"/>
  <c r="K9" i="4"/>
  <c r="K5" i="4"/>
  <c r="J5" i="4"/>
  <c r="K12" i="4"/>
  <c r="AD10" i="20"/>
  <c r="M10" i="20"/>
  <c r="T10" i="6"/>
  <c r="E10" i="6"/>
  <c r="P10" i="20"/>
  <c r="AE10" i="20" l="1"/>
  <c r="AJ10" i="20" s="1"/>
  <c r="N10" i="20"/>
  <c r="U10" i="6"/>
  <c r="Q10" i="20"/>
  <c r="F10" i="6"/>
  <c r="S10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jose.vasquez</author>
  </authors>
  <commentList>
    <comment ref="BF11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Valor dado por el fabricante. Veces la corriente nominal en la que la curva de tiempo inverso se vuelve constante </t>
        </r>
      </text>
    </comment>
    <comment ref="D1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Nodo opuesto al cual esta conectado el relé</t>
        </r>
      </text>
    </comment>
    <comment ref="E12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jose.vasquez:</t>
        </r>
        <r>
          <rPr>
            <sz val="9"/>
            <color indexed="81"/>
            <rFont val="Tahoma"/>
            <family val="2"/>
          </rPr>
          <t xml:space="preserve">
Línea o transformador en donde se encuentra el relé</t>
        </r>
      </text>
    </comment>
    <comment ref="F12" authorId="0" shapeId="0" xr:uid="{00000000-0006-0000-0200-000004000000}">
      <text>
        <r>
          <rPr>
            <sz val="9"/>
            <color indexed="81"/>
            <rFont val="Tahoma"/>
            <family val="2"/>
          </rPr>
          <t>Punto de origen de las líneas</t>
        </r>
      </text>
    </comment>
    <comment ref="H12" authorId="0" shapeId="0" xr:uid="{00000000-0006-0000-0200-000005000000}">
      <text>
        <r>
          <rPr>
            <sz val="9"/>
            <color indexed="81"/>
            <rFont val="Tahoma"/>
            <family val="2"/>
          </rPr>
          <t>Corriente secundaria del transformador de corriente (1A ó 5A)</t>
        </r>
      </text>
    </comment>
    <comment ref="AD12" authorId="0" shapeId="0" xr:uid="{00000000-0006-0000-0200-000006000000}">
      <text>
        <r>
          <rPr>
            <sz val="9"/>
            <color indexed="81"/>
            <rFont val="Tahoma"/>
            <family val="2"/>
          </rPr>
          <t>A tener en cuenta:
Definite Time (TD)
---IEC 255-3---
normal inverse (IEC NI)
very inverse (IEC VI)
extremely inverse (IEC EI)
---ANSI IEEE---
normal inverse (ANSI IEEE NI)
short inverse (ANSI IEEE SI)
long inverse (ANSI IEEE LI)
moderately inverse (ANSI IEEE MI)
very inverse (ANSI IEEE VI)
extremely inverse (ANSI IEEE EI)
---ANSI US---
U1 moderately inverse (ANSI U1 MI)
U2 inverse (ANSI U2 NI)
U3 very inverse (ANSI U3 VI)
U4 extremely inverse (ANSI U4 EI)
U5 short-time inverse (ANSI U5 STI)</t>
        </r>
      </text>
    </comment>
    <comment ref="AH12" authorId="0" shapeId="0" xr:uid="{00000000-0006-0000-0200-000007000000}">
      <text>
        <r>
          <rPr>
            <sz val="9"/>
            <color indexed="81"/>
            <rFont val="Tahoma"/>
            <family val="2"/>
          </rPr>
          <t>A tener en cuenta:
Definite Time (TD)
---IEC 255-3---
normal inverse (IEC NI)
very inverse (IEC VI)
extremely inverse (IEC EI)
---ANSI IEEE---
normal inverse (ANSI IEEE NI)
short inverse (ANSI IEEE SI)
long inverse (ANSI IEEE LI)
moderately inverse (ANSI IEEE MI)
very inverse (ANSI IEEE VI)
extremely inverse (ANSI IEEE EI)
---ANSI US---
U1 moderately inverse (ANSI U1 MI)
U2 inverse (ANSI U2 NI)
U3 very inverse (ANSI U3 VI)
U4 extremely inverse (ANSI U4 EI)
U5 short-time inverse (ANSI U5 STI)</t>
        </r>
      </text>
    </comment>
    <comment ref="AL12" authorId="0" shapeId="0" xr:uid="{00000000-0006-0000-0200-000008000000}">
      <text>
        <r>
          <rPr>
            <sz val="9"/>
            <color indexed="81"/>
            <rFont val="Tahoma"/>
            <family val="2"/>
          </rPr>
          <t>A tener en cuenta:
Definite Time (TD)
---IEC 255-3---
normal inverse (IEC NI)
very inverse (IEC VI)
extremely inverse (IEC EI)
---ANSI IEEE---
normal inverse (ANSI IEEE NI)
short inverse (ANSI IEEE SI)
long inverse (ANSI IEEE LI)
moderately inverse (ANSI IEEE MI)
very inverse (ANSI IEEE VI)
extremely inverse (ANSI IEEE EI)
---ANSI US---
U1 moderately inverse (ANSI U1 MI)
U2 inverse (ANSI U2 NI)
U3 very inverse (ANSI U3 VI)
U4 extremely inverse (ANSI U4 EI)
U5 short-time inverse (ANSI U5 STI)</t>
        </r>
      </text>
    </comment>
    <comment ref="AP12" authorId="0" shapeId="0" xr:uid="{00000000-0006-0000-0200-000009000000}">
      <text>
        <r>
          <rPr>
            <sz val="9"/>
            <color indexed="81"/>
            <rFont val="Tahoma"/>
            <family val="2"/>
          </rPr>
          <t>A tener en cuenta:
Definite Time (TD)
---IEC 255-3---
normal inverse (IEC NI)
very inverse (IEC VI)
extremely inverse (IEC EI)
---ANSI IEEE---
normal inverse (ANSI IEEE NI)
short inverse (ANSI IEEE SI)
long inverse (ANSI IEEE LI)
moderately inverse (ANSI IEEE MI)
very inverse (ANSI IEEE VI)
extremely inverse (ANSI IEEE EI)
---ANSI US---
U1 moderately inverse (ANSI U1 MI)
U2 inverse (ANSI U2 NI)
U3 very inverse (ANSI U3 VI)
U4 extremely inverse (ANSI U4 EI)
U5 short-time inverse (ANSI U5 STI)</t>
        </r>
      </text>
    </comment>
    <comment ref="AT12" authorId="0" shapeId="0" xr:uid="{6EF3D706-5777-4E21-AC47-E49D73141275}">
      <text>
        <r>
          <rPr>
            <sz val="9"/>
            <color indexed="81"/>
            <rFont val="Tahoma"/>
            <family val="2"/>
          </rPr>
          <t>A tener en cuenta:
Definite Time (TD)
---IEC 255-3---
normal inverse (IEC NI)
very inverse (IEC VI)
extremely inverse (IEC EI)
---ANSI IEEE---
normal inverse (ANSI IEEE NI)
short inverse (ANSI IEEE SI)
long inverse (ANSI IEEE LI)
moderately inverse (ANSI IEEE MI)
very inverse (ANSI IEEE VI)
extremely inverse (ANSI IEEE EI)
---ANSI US---
U1 moderately inverse (ANSI U1 MI)
U2 inverse (ANSI U2 NI)
U3 very inverse (ANSI U3 VI)
U4 extremely inverse (ANSI U4 EI)
U5 short-time inverse (ANSI U5 STI)</t>
        </r>
      </text>
    </comment>
    <comment ref="AX12" authorId="0" shapeId="0" xr:uid="{04295F72-12D9-4D8C-B3AB-5F81F78F8340}">
      <text>
        <r>
          <rPr>
            <sz val="9"/>
            <color indexed="81"/>
            <rFont val="Tahoma"/>
            <family val="2"/>
          </rPr>
          <t>A tener en cuenta:
Definite Time (TD)
---IEC 255-3---
normal inverse (IEC NI)
very inverse (IEC VI)
extremely inverse (IEC EI)
---ANSI IEEE---
normal inverse (ANSI IEEE NI)
short inverse (ANSI IEEE SI)
long inverse (ANSI IEEE LI)
moderately inverse (ANSI IEEE MI)
very inverse (ANSI IEEE VI)
extremely inverse (ANSI IEEE EI)
---ANSI US---
U1 moderately inverse (ANSI U1 MI)
U2 inverse (ANSI U2 NI)
U3 very inverse (ANSI U3 VI)
U4 extremely inverse (ANSI U4 EI)
U5 short-time inverse (ANSI U5 STI)</t>
        </r>
      </text>
    </comment>
    <comment ref="AZ13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 xml:space="preserve">Ir: Veces la corriente Nominal
Ib: Corriente secundaria
</t>
        </r>
      </text>
    </comment>
    <comment ref="BA13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 xml:space="preserve">Ir: Veces la corriente Nominal
Ib: Corriente secundaria
</t>
        </r>
      </text>
    </comment>
    <comment ref="BB13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 xml:space="preserve">Ir: Veces la corriente Nominal
Ib: Corriente secundaria
</t>
        </r>
      </text>
    </comment>
    <comment ref="BC13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 xml:space="preserve">Ir: Veces la corriente Nominal
Ib: Corriente secundaria
</t>
        </r>
      </text>
    </comment>
    <comment ref="BD13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 xml:space="preserve">Ir: Veces la corriente Nominal
Ib: Corriente secundaria
</t>
        </r>
      </text>
    </comment>
    <comment ref="BE13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 xml:space="preserve">Ir: Veces la corriente Nominal
Ib: Corriente secundaria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jose.vazques</author>
  </authors>
  <commentList>
    <comment ref="M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jose.vazques:</t>
        </r>
        <r>
          <rPr>
            <sz val="9"/>
            <color indexed="81"/>
            <rFont val="Tahoma"/>
            <family val="2"/>
          </rPr>
          <t xml:space="preserve">
SOLO PARA DIRECCIONALES</t>
        </r>
      </text>
    </comment>
  </commentList>
</comments>
</file>

<file path=xl/sharedStrings.xml><?xml version="1.0" encoding="utf-8"?>
<sst xmlns="http://schemas.openxmlformats.org/spreadsheetml/2006/main" count="4204" uniqueCount="672">
  <si>
    <t>Ir</t>
  </si>
  <si>
    <t>S/E</t>
  </si>
  <si>
    <t>CT</t>
  </si>
  <si>
    <t>RELÉ</t>
  </si>
  <si>
    <t>RELACIÓN</t>
  </si>
  <si>
    <t>MARCA/
REFERENCIA</t>
  </si>
  <si>
    <t>PROTECCIÓN SOBRECORRIENTE DIRECCIONAL (67) FASES</t>
  </si>
  <si>
    <t>PROTECCIÓN SOBRECORRIENTE DIRECCIONAL (67N) NEUTRO</t>
  </si>
  <si>
    <t>PICKUP</t>
  </si>
  <si>
    <t>(A Sec)</t>
  </si>
  <si>
    <t>CURVA</t>
  </si>
  <si>
    <t>DIAL</t>
  </si>
  <si>
    <t>IEC NI</t>
  </si>
  <si>
    <t>TD</t>
  </si>
  <si>
    <t>NOMBRE/NEPLAN</t>
  </si>
  <si>
    <t>C1</t>
  </si>
  <si>
    <t>C2</t>
  </si>
  <si>
    <t>C3</t>
  </si>
  <si>
    <t>Ib</t>
  </si>
  <si>
    <t>Otro</t>
  </si>
  <si>
    <t>PRIM.</t>
  </si>
  <si>
    <t>SEC.</t>
  </si>
  <si>
    <t>Base A</t>
  </si>
  <si>
    <t xml:space="preserve"> I/Ir
 (%)</t>
  </si>
  <si>
    <t>BASE CORRIENTE
FASE</t>
  </si>
  <si>
    <t>AJUSTE DE FUNCION DE SOBRECORRIENTE</t>
  </si>
  <si>
    <t>CORRIENTE 
NOMINAL
(A)</t>
  </si>
  <si>
    <t>CORRIENTE EMERGENCIA (A)</t>
  </si>
  <si>
    <t>AJUSTES</t>
  </si>
  <si>
    <t>AJUSTES PROPUESTOS</t>
  </si>
  <si>
    <t>CORRIENTE 
NOMINAL (A)</t>
  </si>
  <si>
    <t>FASE</t>
  </si>
  <si>
    <t>TIERRA</t>
  </si>
  <si>
    <t>DELAY 1</t>
  </si>
  <si>
    <t>DELAY 2</t>
  </si>
  <si>
    <t>DIERECTION</t>
  </si>
  <si>
    <t>ANGLE</t>
  </si>
  <si>
    <t>BAHIA</t>
  </si>
  <si>
    <t>DIAL/TIEMPO</t>
  </si>
  <si>
    <t>FUNCIÓN</t>
  </si>
  <si>
    <t>t</t>
  </si>
  <si>
    <t>Ik"</t>
  </si>
  <si>
    <t>Distancia</t>
  </si>
  <si>
    <t>[s]</t>
  </si>
  <si>
    <t>[kA]</t>
  </si>
  <si>
    <t>t [s]</t>
  </si>
  <si>
    <t>PICKUP (Prim)</t>
  </si>
  <si>
    <t>PICKUP (Sec)</t>
  </si>
  <si>
    <t>TD-1 (Prim)</t>
  </si>
  <si>
    <t>TD-1 (Sec)</t>
  </si>
  <si>
    <t>TD-2 (Prim)</t>
  </si>
  <si>
    <t>TD-2 (Sec)</t>
  </si>
  <si>
    <t>(A Prim)</t>
  </si>
  <si>
    <t>PROPUESTOS</t>
  </si>
  <si>
    <t>ACTUAL</t>
  </si>
  <si>
    <t>CORRIENTE EMERGENCIA
 (A)</t>
  </si>
  <si>
    <t>CORRIENTE
ARRANQUE
(A prim)</t>
  </si>
  <si>
    <t>CORRIENTE
ARRANQUE
(A sec)</t>
  </si>
  <si>
    <t>Elemento en falla</t>
  </si>
  <si>
    <t>Tipo Falla</t>
  </si>
  <si>
    <t>TRIFASICO</t>
  </si>
  <si>
    <t>NA</t>
  </si>
  <si>
    <t>ANGULO POLARIZACIÓN</t>
  </si>
  <si>
    <t>45°</t>
  </si>
  <si>
    <t>-45°</t>
  </si>
  <si>
    <t>L3-2</t>
  </si>
  <si>
    <t>Line</t>
  </si>
  <si>
    <t>MONOFASICO</t>
  </si>
  <si>
    <t>BIFASICO</t>
  </si>
  <si>
    <t>BIFASICO_TIERRA</t>
  </si>
  <si>
    <t>R2-2</t>
  </si>
  <si>
    <t>DESDE</t>
  </si>
  <si>
    <t>NOMBRE</t>
  </si>
  <si>
    <t>LÍNEA/TRANSFORMADOR</t>
  </si>
  <si>
    <t>tipo</t>
  </si>
  <si>
    <t>Ubicación de
la falla</t>
  </si>
  <si>
    <t>DATO DEL RESULTADO</t>
  </si>
  <si>
    <t>3I0</t>
  </si>
  <si>
    <t>Ik"L2</t>
  </si>
  <si>
    <t>Ik"L3</t>
  </si>
  <si>
    <t>t-3I0</t>
  </si>
  <si>
    <t>t-Ik"L2/3</t>
  </si>
  <si>
    <t>R_K3-2-K2</t>
  </si>
  <si>
    <t>Sobrecorriente</t>
  </si>
  <si>
    <t>Relé</t>
  </si>
  <si>
    <t xml:space="preserve"> 3I0[s]</t>
  </si>
  <si>
    <t>Ik"[s]</t>
  </si>
  <si>
    <t>NODO OPUESTO</t>
  </si>
  <si>
    <t>BASE CORRIENTE
TIERRA</t>
  </si>
  <si>
    <t>NOMBRE DEL RELÉ</t>
  </si>
  <si>
    <t>UBICACIÓN
(NODO)</t>
  </si>
  <si>
    <t>L3-3</t>
  </si>
  <si>
    <t>L2-2</t>
  </si>
  <si>
    <t>L3-1</t>
  </si>
  <si>
    <t>TR1</t>
  </si>
  <si>
    <t>Trafo2Winding</t>
  </si>
  <si>
    <t>Elemento falla</t>
  </si>
  <si>
    <t>Tipo Elemento</t>
  </si>
  <si>
    <t>Ohm Falla</t>
  </si>
  <si>
    <t>% ubicación</t>
  </si>
  <si>
    <t>Nombre Elemento</t>
  </si>
  <si>
    <t>Puerto Elemento</t>
  </si>
  <si>
    <t>Direccion</t>
  </si>
  <si>
    <t>IK2L1</t>
  </si>
  <si>
    <t>IK2L2</t>
  </si>
  <si>
    <t>IK2L3</t>
  </si>
  <si>
    <t>I3I0</t>
  </si>
  <si>
    <t>malo</t>
  </si>
  <si>
    <t>Name</t>
  </si>
  <si>
    <t>DefaultTrippingFunction</t>
  </si>
  <si>
    <t>TypeName</t>
  </si>
  <si>
    <t>TypeDescription</t>
  </si>
  <si>
    <t>Relay Unit</t>
  </si>
  <si>
    <t>Function</t>
  </si>
  <si>
    <t>Symbol</t>
  </si>
  <si>
    <t>Iset
pu</t>
  </si>
  <si>
    <t>Tset
pu/s</t>
  </si>
  <si>
    <t>Locked</t>
  </si>
  <si>
    <t>ProtectionTypeID</t>
  </si>
  <si>
    <t>IsActive</t>
  </si>
  <si>
    <t>EnergyIdentificationCodeEIC</t>
  </si>
  <si>
    <t>CIMID</t>
  </si>
  <si>
    <t>At Busbar</t>
  </si>
  <si>
    <t>On Element</t>
  </si>
  <si>
    <t>On Element
(Element Type)</t>
  </si>
  <si>
    <t>Log. switches</t>
  </si>
  <si>
    <t>Alias Name 1</t>
  </si>
  <si>
    <t>Alias Name 2</t>
  </si>
  <si>
    <t>Library Type</t>
  </si>
  <si>
    <t>Description</t>
  </si>
  <si>
    <t>Zone</t>
  </si>
  <si>
    <t>Area</t>
  </si>
  <si>
    <t>Subarea</t>
  </si>
  <si>
    <t>Partial Network ID</t>
  </si>
  <si>
    <t>Feeder</t>
  </si>
  <si>
    <t>Static feeder</t>
  </si>
  <si>
    <t>Container</t>
  </si>
  <si>
    <t>Owners</t>
  </si>
  <si>
    <t>Changed At</t>
  </si>
  <si>
    <t>Beginning of operation</t>
  </si>
  <si>
    <t>Projected</t>
  </si>
  <si>
    <t>In Maintenance</t>
  </si>
  <si>
    <t>Out of operation</t>
  </si>
  <si>
    <t>X</t>
  </si>
  <si>
    <t>Y</t>
  </si>
  <si>
    <t>ID</t>
  </si>
  <si>
    <t>SIEM SIPROTEC 4 7SJ61/2/3/4 (5A)</t>
  </si>
  <si>
    <t>SIEMENS 4 7SJ61/62/63/64 (5A) - Multifunction Protection Relay</t>
  </si>
  <si>
    <t>Ph O/C Inverse IEC</t>
  </si>
  <si>
    <t>Overcurrent Directed Forward</t>
  </si>
  <si>
    <t>I&gt;&gt;</t>
  </si>
  <si>
    <t>False</t>
  </si>
  <si>
    <t>Ph O/C Inverse ANSI</t>
  </si>
  <si>
    <t>Overcurrent</t>
  </si>
  <si>
    <t>True</t>
  </si>
  <si>
    <t>Ph O/L Def Time</t>
  </si>
  <si>
    <t>Earth O/C Inverse IEC</t>
  </si>
  <si>
    <t>Earthfault Directed Forward</t>
  </si>
  <si>
    <t>I0&gt;</t>
  </si>
  <si>
    <t>Earth O/C Inverse ANSI</t>
  </si>
  <si>
    <t>Earthfault</t>
  </si>
  <si>
    <t>Earth O/L def Time</t>
  </si>
  <si>
    <t>Sensitive Earth 50Ns1</t>
  </si>
  <si>
    <t>Sensitive Earth 50Ns2</t>
  </si>
  <si>
    <t>K3-2</t>
  </si>
  <si>
    <t>Zone 1</t>
  </si>
  <si>
    <t>Area 1</t>
  </si>
  <si>
    <t>Sub Area 1</t>
  </si>
  <si>
    <t>1</t>
  </si>
  <si>
    <t>8/14/2020 10:42:11 AM</t>
  </si>
  <si>
    <t>651a3b21-2be2-4d21-8dd3-7dab59eca92e</t>
  </si>
  <si>
    <t>R_TR</t>
  </si>
  <si>
    <t>K4-2</t>
  </si>
  <si>
    <t>2W transformer</t>
  </si>
  <si>
    <t>Default Area</t>
  </si>
  <si>
    <t>Default SubArea</t>
  </si>
  <si>
    <t>9/18/2021 4:44:35 PM</t>
  </si>
  <si>
    <t>e649f8a2-c2f1-4b72-91e9-d2c3af8b147d</t>
  </si>
  <si>
    <t>R_TR-K3-2</t>
  </si>
  <si>
    <t>8/23/2020 3:50:33 PM</t>
  </si>
  <si>
    <t>b5f9a446-ed84-42ee-a4cb-0fd6fa039ff0</t>
  </si>
  <si>
    <t>K2</t>
  </si>
  <si>
    <t>8/23/2020 3:52:47 PM</t>
  </si>
  <si>
    <t>a8a8c57f-b241-4898-a884-1c9ee5d03c89</t>
  </si>
  <si>
    <t>R3-2</t>
  </si>
  <si>
    <t>9/18/2021 3:54:39 PM</t>
  </si>
  <si>
    <t>197b607e-e647-4f61-8433-602ca53c7753</t>
  </si>
  <si>
    <t>L2-2LineTRIFASICO02L3-30</t>
  </si>
  <si>
    <t>L2-2LineTRIFASICO02L3-31</t>
  </si>
  <si>
    <t>L2-2LineTRIFASICO02L3-20</t>
  </si>
  <si>
    <t>L2-2LineTRIFASICO02L3-21</t>
  </si>
  <si>
    <t>L2-2LineTRIFASICO02L2-20</t>
  </si>
  <si>
    <t>L2-2LineTRIFASICO02L2-21</t>
  </si>
  <si>
    <t>L2-2LineTRIFASICO02L3-10</t>
  </si>
  <si>
    <t>L2-2LineTRIFASICO02L3-11</t>
  </si>
  <si>
    <t>L2-2LineTRIFASICO02TR10</t>
  </si>
  <si>
    <t>L2-2LineTRIFASICO02TR11</t>
  </si>
  <si>
    <t>L2-2LineTRIFASICO050L3-30</t>
  </si>
  <si>
    <t>L2-2LineTRIFASICO050L3-31</t>
  </si>
  <si>
    <t>L2-2LineTRIFASICO050L3-20</t>
  </si>
  <si>
    <t>L2-2LineTRIFASICO050L3-21</t>
  </si>
  <si>
    <t>L2-2LineTRIFASICO050L2-20</t>
  </si>
  <si>
    <t>L2-2LineTRIFASICO050L2-21</t>
  </si>
  <si>
    <t>L2-2LineTRIFASICO050L3-10</t>
  </si>
  <si>
    <t>L2-2LineTRIFASICO050L3-11</t>
  </si>
  <si>
    <t>L2-2LineTRIFASICO050TR10</t>
  </si>
  <si>
    <t>L2-2LineTRIFASICO050TR11</t>
  </si>
  <si>
    <t>L2-2LineTRIFASICO098L3-30</t>
  </si>
  <si>
    <t>L2-2LineTRIFASICO098L3-31</t>
  </si>
  <si>
    <t>L2-2LineTRIFASICO098L3-20</t>
  </si>
  <si>
    <t>L2-2LineTRIFASICO098L3-21</t>
  </si>
  <si>
    <t>L2-2LineTRIFASICO098L2-20</t>
  </si>
  <si>
    <t>L2-2LineTRIFASICO098L2-21</t>
  </si>
  <si>
    <t>L2-2LineTRIFASICO098L3-10</t>
  </si>
  <si>
    <t>L2-2LineTRIFASICO098L3-11</t>
  </si>
  <si>
    <t>L2-2LineTRIFASICO098TR10</t>
  </si>
  <si>
    <t>L2-2LineTRIFASICO098TR11</t>
  </si>
  <si>
    <t>L2-2LineTRIFASICO52L3-30</t>
  </si>
  <si>
    <t>L2-2LineTRIFASICO52L3-31</t>
  </si>
  <si>
    <t>L2-2LineTRIFASICO52L3-20</t>
  </si>
  <si>
    <t>L2-2LineTRIFASICO52L3-21</t>
  </si>
  <si>
    <t>L2-2LineTRIFASICO52L2-20</t>
  </si>
  <si>
    <t>L2-2LineTRIFASICO52L2-21</t>
  </si>
  <si>
    <t>L2-2LineTRIFASICO52L3-10</t>
  </si>
  <si>
    <t>L2-2LineTRIFASICO52L3-11</t>
  </si>
  <si>
    <t>L2-2LineTRIFASICO52TR10</t>
  </si>
  <si>
    <t>L2-2LineTRIFASICO52TR11</t>
  </si>
  <si>
    <t>L2-2LineTRIFASICO550L3-30</t>
  </si>
  <si>
    <t>L2-2LineTRIFASICO550L3-31</t>
  </si>
  <si>
    <t>L2-2LineTRIFASICO550L3-20</t>
  </si>
  <si>
    <t>L2-2LineTRIFASICO550L3-21</t>
  </si>
  <si>
    <t>L2-2LineTRIFASICO550L2-20</t>
  </si>
  <si>
    <t>L2-2LineTRIFASICO550L2-21</t>
  </si>
  <si>
    <t>L2-2LineTRIFASICO550L3-10</t>
  </si>
  <si>
    <t>L2-2LineTRIFASICO550L3-11</t>
  </si>
  <si>
    <t>L2-2LineTRIFASICO550TR10</t>
  </si>
  <si>
    <t>L2-2LineTRIFASICO550TR11</t>
  </si>
  <si>
    <t>L2-2LineTRIFASICO598L3-30</t>
  </si>
  <si>
    <t>L2-2LineTRIFASICO598L3-31</t>
  </si>
  <si>
    <t>L2-2LineTRIFASICO598L3-20</t>
  </si>
  <si>
    <t>L2-2LineTRIFASICO598L3-21</t>
  </si>
  <si>
    <t>L2-2LineTRIFASICO598L2-20</t>
  </si>
  <si>
    <t>L2-2LineTRIFASICO598L2-21</t>
  </si>
  <si>
    <t>L2-2LineTRIFASICO598L3-10</t>
  </si>
  <si>
    <t>L2-2LineTRIFASICO598L3-11</t>
  </si>
  <si>
    <t>L2-2LineTRIFASICO598TR10</t>
  </si>
  <si>
    <t>L2-2LineTRIFASICO598TR11</t>
  </si>
  <si>
    <t>L2-2LineTRIFASICO102L3-30</t>
  </si>
  <si>
    <t>L2-2LineTRIFASICO102L3-31</t>
  </si>
  <si>
    <t>L2-2LineTRIFASICO102L3-20</t>
  </si>
  <si>
    <t>L2-2LineTRIFASICO102L3-21</t>
  </si>
  <si>
    <t>L2-2LineTRIFASICO102L2-20</t>
  </si>
  <si>
    <t>L2-2LineTRIFASICO102L2-21</t>
  </si>
  <si>
    <t>L2-2LineTRIFASICO102L3-10</t>
  </si>
  <si>
    <t>L2-2LineTRIFASICO102L3-11</t>
  </si>
  <si>
    <t>L2-2LineTRIFASICO102TR10</t>
  </si>
  <si>
    <t>L2-2LineTRIFASICO102TR11</t>
  </si>
  <si>
    <t>L2-2LineTRIFASICO1050L3-30</t>
  </si>
  <si>
    <t>L2-2LineTRIFASICO1050L3-31</t>
  </si>
  <si>
    <t>L2-2LineTRIFASICO1050L3-20</t>
  </si>
  <si>
    <t>L2-2LineTRIFASICO1050L3-21</t>
  </si>
  <si>
    <t>L2-2LineTRIFASICO1050L2-20</t>
  </si>
  <si>
    <t>L2-2LineTRIFASICO1050L2-21</t>
  </si>
  <si>
    <t>L2-2LineTRIFASICO1050L3-10</t>
  </si>
  <si>
    <t>L2-2LineTRIFASICO1050L3-11</t>
  </si>
  <si>
    <t>L2-2LineTRIFASICO1050TR10</t>
  </si>
  <si>
    <t>L2-2LineTRIFASICO1050TR11</t>
  </si>
  <si>
    <t>L2-2LineTRIFASICO1098L3-30</t>
  </si>
  <si>
    <t>L2-2LineTRIFASICO1098L3-31</t>
  </si>
  <si>
    <t>L2-2LineTRIFASICO1098L3-20</t>
  </si>
  <si>
    <t>L2-2LineTRIFASICO1098L3-21</t>
  </si>
  <si>
    <t>L2-2LineTRIFASICO1098L2-20</t>
  </si>
  <si>
    <t>L2-2LineTRIFASICO1098L2-21</t>
  </si>
  <si>
    <t>L2-2LineTRIFASICO1098L3-10</t>
  </si>
  <si>
    <t>L2-2LineTRIFASICO1098L3-11</t>
  </si>
  <si>
    <t>L2-2LineTRIFASICO1098TR10</t>
  </si>
  <si>
    <t>L2-2LineTRIFASICO1098TR11</t>
  </si>
  <si>
    <t>L2-2LineTRIFASICO302L3-30</t>
  </si>
  <si>
    <t>L2-2LineTRIFASICO302L3-31</t>
  </si>
  <si>
    <t>L2-2LineTRIFASICO302L3-20</t>
  </si>
  <si>
    <t>L2-2LineTRIFASICO302L3-21</t>
  </si>
  <si>
    <t>L2-2LineTRIFASICO302L2-20</t>
  </si>
  <si>
    <t>L2-2LineTRIFASICO302L2-21</t>
  </si>
  <si>
    <t>L2-2LineTRIFASICO302L3-10</t>
  </si>
  <si>
    <t>L2-2LineTRIFASICO302L3-11</t>
  </si>
  <si>
    <t>L2-2LineTRIFASICO302TR10</t>
  </si>
  <si>
    <t>L2-2LineTRIFASICO302TR11</t>
  </si>
  <si>
    <t>L2-2LineTRIFASICO3050L3-30</t>
  </si>
  <si>
    <t>L2-2LineTRIFASICO3050L3-31</t>
  </si>
  <si>
    <t>L2-2LineTRIFASICO3050L3-20</t>
  </si>
  <si>
    <t>L2-2LineTRIFASICO3050L3-21</t>
  </si>
  <si>
    <t>L2-2LineTRIFASICO3050L2-20</t>
  </si>
  <si>
    <t>L2-2LineTRIFASICO3050L2-21</t>
  </si>
  <si>
    <t>L2-2LineTRIFASICO3050L3-10</t>
  </si>
  <si>
    <t>L2-2LineTRIFASICO3050L3-11</t>
  </si>
  <si>
    <t>L2-2LineTRIFASICO3050TR10</t>
  </si>
  <si>
    <t>L2-2LineTRIFASICO3050TR11</t>
  </si>
  <si>
    <t>L2-2LineTRIFASICO3098L3-30</t>
  </si>
  <si>
    <t>L2-2LineTRIFASICO3098L3-31</t>
  </si>
  <si>
    <t>L2-2LineTRIFASICO3098L3-20</t>
  </si>
  <si>
    <t>L2-2LineTRIFASICO3098L3-21</t>
  </si>
  <si>
    <t>L2-2LineTRIFASICO3098L2-20</t>
  </si>
  <si>
    <t>L2-2LineTRIFASICO3098L2-21</t>
  </si>
  <si>
    <t>L2-2LineTRIFASICO3098L3-10</t>
  </si>
  <si>
    <t>L2-2LineTRIFASICO3098L3-11</t>
  </si>
  <si>
    <t>L2-2LineTRIFASICO3098TR10</t>
  </si>
  <si>
    <t>L2-2LineTRIFASICO3098TR11</t>
  </si>
  <si>
    <t>L2-2LineMONOFASICO02L3-30</t>
  </si>
  <si>
    <t>L2-2LineMONOFASICO02L3-31</t>
  </si>
  <si>
    <t>L2-2LineMONOFASICO02L3-20</t>
  </si>
  <si>
    <t>L2-2LineMONOFASICO02L3-21</t>
  </si>
  <si>
    <t>L2-2LineMONOFASICO02L2-20</t>
  </si>
  <si>
    <t>L2-2LineMONOFASICO02L2-21</t>
  </si>
  <si>
    <t>L2-2LineMONOFASICO02L3-10</t>
  </si>
  <si>
    <t>L2-2LineMONOFASICO02L3-11</t>
  </si>
  <si>
    <t>L2-2LineMONOFASICO02TR10</t>
  </si>
  <si>
    <t>L2-2LineMONOFASICO02TR11</t>
  </si>
  <si>
    <t>L2-2LineMONOFASICO050L3-30</t>
  </si>
  <si>
    <t>L2-2LineMONOFASICO050L3-31</t>
  </si>
  <si>
    <t>L2-2LineMONOFASICO050L3-20</t>
  </si>
  <si>
    <t>L2-2LineMONOFASICO050L3-21</t>
  </si>
  <si>
    <t>L2-2LineMONOFASICO050L2-20</t>
  </si>
  <si>
    <t>L2-2LineMONOFASICO050L2-21</t>
  </si>
  <si>
    <t>L2-2LineMONOFASICO050L3-10</t>
  </si>
  <si>
    <t>L2-2LineMONOFASICO050L3-11</t>
  </si>
  <si>
    <t>L2-2LineMONOFASICO050TR10</t>
  </si>
  <si>
    <t>L2-2LineMONOFASICO050TR11</t>
  </si>
  <si>
    <t>L2-2LineMONOFASICO098L3-30</t>
  </si>
  <si>
    <t>L2-2LineMONOFASICO098L3-31</t>
  </si>
  <si>
    <t>L2-2LineMONOFASICO098L3-20</t>
  </si>
  <si>
    <t>L2-2LineMONOFASICO098L3-21</t>
  </si>
  <si>
    <t>L2-2LineMONOFASICO098L2-20</t>
  </si>
  <si>
    <t>L2-2LineMONOFASICO098L2-21</t>
  </si>
  <si>
    <t>L2-2LineMONOFASICO098L3-10</t>
  </si>
  <si>
    <t>L2-2LineMONOFASICO098L3-11</t>
  </si>
  <si>
    <t>L2-2LineMONOFASICO098TR10</t>
  </si>
  <si>
    <t>L2-2LineMONOFASICO098TR11</t>
  </si>
  <si>
    <t>L2-2LineMONOFASICO52L3-30</t>
  </si>
  <si>
    <t>L2-2LineMONOFASICO52L3-31</t>
  </si>
  <si>
    <t>L2-2LineMONOFASICO52L3-20</t>
  </si>
  <si>
    <t>L2-2LineMONOFASICO52L3-21</t>
  </si>
  <si>
    <t>L2-2LineMONOFASICO52L2-20</t>
  </si>
  <si>
    <t>L2-2LineMONOFASICO52L2-21</t>
  </si>
  <si>
    <t>L2-2LineMONOFASICO52L3-10</t>
  </si>
  <si>
    <t>L2-2LineMONOFASICO52L3-11</t>
  </si>
  <si>
    <t>L2-2LineMONOFASICO52TR10</t>
  </si>
  <si>
    <t>L2-2LineMONOFASICO52TR11</t>
  </si>
  <si>
    <t>L2-2LineMONOFASICO550L3-30</t>
  </si>
  <si>
    <t>L2-2LineMONOFASICO550L3-31</t>
  </si>
  <si>
    <t>L2-2LineMONOFASICO550L3-20</t>
  </si>
  <si>
    <t>L2-2LineMONOFASICO550L3-21</t>
  </si>
  <si>
    <t>L2-2LineMONOFASICO550L2-20</t>
  </si>
  <si>
    <t>L2-2LineMONOFASICO550L2-21</t>
  </si>
  <si>
    <t>L2-2LineMONOFASICO550L3-10</t>
  </si>
  <si>
    <t>L2-2LineMONOFASICO550L3-11</t>
  </si>
  <si>
    <t>L2-2LineMONOFASICO550TR10</t>
  </si>
  <si>
    <t>L2-2LineMONOFASICO550TR11</t>
  </si>
  <si>
    <t>L2-2LineMONOFASICO598L3-30</t>
  </si>
  <si>
    <t>L2-2LineMONOFASICO598L3-31</t>
  </si>
  <si>
    <t>L2-2LineMONOFASICO598L3-20</t>
  </si>
  <si>
    <t>L2-2LineMONOFASICO598L3-21</t>
  </si>
  <si>
    <t>L2-2LineMONOFASICO598L2-20</t>
  </si>
  <si>
    <t>L2-2LineMONOFASICO598L2-21</t>
  </si>
  <si>
    <t>L2-2LineMONOFASICO598L3-10</t>
  </si>
  <si>
    <t>L2-2LineMONOFASICO598L3-11</t>
  </si>
  <si>
    <t>L2-2LineMONOFASICO598TR10</t>
  </si>
  <si>
    <t>L2-2LineMONOFASICO598TR11</t>
  </si>
  <si>
    <t>L2-2LineMONOFASICO102L3-30</t>
  </si>
  <si>
    <t>L2-2LineMONOFASICO102L3-31</t>
  </si>
  <si>
    <t>L2-2LineMONOFASICO102L3-20</t>
  </si>
  <si>
    <t>L2-2LineMONOFASICO102L3-21</t>
  </si>
  <si>
    <t>L2-2LineMONOFASICO102L2-20</t>
  </si>
  <si>
    <t>L2-2LineMONOFASICO102L2-21</t>
  </si>
  <si>
    <t>L2-2LineMONOFASICO102L3-10</t>
  </si>
  <si>
    <t>L2-2LineMONOFASICO102L3-11</t>
  </si>
  <si>
    <t>L2-2LineMONOFASICO102TR10</t>
  </si>
  <si>
    <t>L2-2LineMONOFASICO102TR11</t>
  </si>
  <si>
    <t>L2-2LineMONOFASICO1050L3-30</t>
  </si>
  <si>
    <t>L2-2LineMONOFASICO1050L3-31</t>
  </si>
  <si>
    <t>L2-2LineMONOFASICO1050L3-20</t>
  </si>
  <si>
    <t>L2-2LineMONOFASICO1050L3-21</t>
  </si>
  <si>
    <t>L2-2LineMONOFASICO1050L2-20</t>
  </si>
  <si>
    <t>L2-2LineMONOFASICO1050L2-21</t>
  </si>
  <si>
    <t>L2-2LineMONOFASICO1050L3-10</t>
  </si>
  <si>
    <t>L2-2LineMONOFASICO1050L3-11</t>
  </si>
  <si>
    <t>L2-2LineMONOFASICO1050TR10</t>
  </si>
  <si>
    <t>L2-2LineMONOFASICO1050TR11</t>
  </si>
  <si>
    <t>L2-2LineMONOFASICO1098L3-30</t>
  </si>
  <si>
    <t>L2-2LineMONOFASICO1098L3-31</t>
  </si>
  <si>
    <t>L2-2LineMONOFASICO1098L3-20</t>
  </si>
  <si>
    <t>L2-2LineMONOFASICO1098L3-21</t>
  </si>
  <si>
    <t>L2-2LineMONOFASICO1098L2-20</t>
  </si>
  <si>
    <t>L2-2LineMONOFASICO1098L2-21</t>
  </si>
  <si>
    <t>L2-2LineMONOFASICO1098L3-10</t>
  </si>
  <si>
    <t>L2-2LineMONOFASICO1098L3-11</t>
  </si>
  <si>
    <t>L2-2LineMONOFASICO1098TR10</t>
  </si>
  <si>
    <t>L2-2LineMONOFASICO1098TR11</t>
  </si>
  <si>
    <t>L2-2LineMONOFASICO302L3-30</t>
  </si>
  <si>
    <t>L2-2LineMONOFASICO302L3-31</t>
  </si>
  <si>
    <t>L2-2LineMONOFASICO302L3-20</t>
  </si>
  <si>
    <t>L2-2LineMONOFASICO302L3-21</t>
  </si>
  <si>
    <t>L2-2LineMONOFASICO302L2-20</t>
  </si>
  <si>
    <t>L2-2LineMONOFASICO302L2-21</t>
  </si>
  <si>
    <t>L2-2LineMONOFASICO302L3-10</t>
  </si>
  <si>
    <t>L2-2LineMONOFASICO302L3-11</t>
  </si>
  <si>
    <t>L2-2LineMONOFASICO302TR10</t>
  </si>
  <si>
    <t>L2-2LineMONOFASICO302TR11</t>
  </si>
  <si>
    <t>L2-2LineMONOFASICO3050L3-30</t>
  </si>
  <si>
    <t>L2-2LineMONOFASICO3050L3-31</t>
  </si>
  <si>
    <t>L2-2LineMONOFASICO3050L3-20</t>
  </si>
  <si>
    <t>L2-2LineMONOFASICO3050L3-21</t>
  </si>
  <si>
    <t>L2-2LineMONOFASICO3050L2-20</t>
  </si>
  <si>
    <t>L2-2LineMONOFASICO3050L2-21</t>
  </si>
  <si>
    <t>L2-2LineMONOFASICO3050L3-10</t>
  </si>
  <si>
    <t>L2-2LineMONOFASICO3050L3-11</t>
  </si>
  <si>
    <t>L2-2LineMONOFASICO3050TR10</t>
  </si>
  <si>
    <t>L2-2LineMONOFASICO3050TR11</t>
  </si>
  <si>
    <t>L2-2LineMONOFASICO3098L3-30</t>
  </si>
  <si>
    <t>L2-2LineMONOFASICO3098L3-31</t>
  </si>
  <si>
    <t>L2-2LineMONOFASICO3098L3-20</t>
  </si>
  <si>
    <t>L2-2LineMONOFASICO3098L3-21</t>
  </si>
  <si>
    <t>L2-2LineMONOFASICO3098L2-20</t>
  </si>
  <si>
    <t>L2-2LineMONOFASICO3098L2-21</t>
  </si>
  <si>
    <t>L2-2LineMONOFASICO3098L3-10</t>
  </si>
  <si>
    <t>L2-2LineMONOFASICO3098L3-11</t>
  </si>
  <si>
    <t>L2-2LineMONOFASICO3098TR10</t>
  </si>
  <si>
    <t>L2-2LineMONOFASICO3098TR11</t>
  </si>
  <si>
    <t>L2-2LineBIFASICO02L3-30</t>
  </si>
  <si>
    <t>L2-2LineBIFASICO02L3-31</t>
  </si>
  <si>
    <t>L2-2LineBIFASICO02L3-20</t>
  </si>
  <si>
    <t>L2-2LineBIFASICO02L3-21</t>
  </si>
  <si>
    <t>L2-2LineBIFASICO02L2-20</t>
  </si>
  <si>
    <t>L2-2LineBIFASICO02L2-21</t>
  </si>
  <si>
    <t>L2-2LineBIFASICO02L3-10</t>
  </si>
  <si>
    <t>L2-2LineBIFASICO02L3-11</t>
  </si>
  <si>
    <t>L2-2LineBIFASICO02TR10</t>
  </si>
  <si>
    <t>L2-2LineBIFASICO02TR11</t>
  </si>
  <si>
    <t>L2-2LineBIFASICO050L3-30</t>
  </si>
  <si>
    <t>L2-2LineBIFASICO050L3-31</t>
  </si>
  <si>
    <t>L2-2LineBIFASICO050L3-20</t>
  </si>
  <si>
    <t>L2-2LineBIFASICO050L3-21</t>
  </si>
  <si>
    <t>L2-2LineBIFASICO050L2-20</t>
  </si>
  <si>
    <t>L2-2LineBIFASICO050L2-21</t>
  </si>
  <si>
    <t>L2-2LineBIFASICO050L3-10</t>
  </si>
  <si>
    <t>L2-2LineBIFASICO050L3-11</t>
  </si>
  <si>
    <t>L2-2LineBIFASICO050TR10</t>
  </si>
  <si>
    <t>L2-2LineBIFASICO050TR11</t>
  </si>
  <si>
    <t>L2-2LineBIFASICO098L3-30</t>
  </si>
  <si>
    <t>L2-2LineBIFASICO098L3-31</t>
  </si>
  <si>
    <t>L2-2LineBIFASICO098L3-20</t>
  </si>
  <si>
    <t>L2-2LineBIFASICO098L3-21</t>
  </si>
  <si>
    <t>L2-2LineBIFASICO098L2-20</t>
  </si>
  <si>
    <t>L2-2LineBIFASICO098L2-21</t>
  </si>
  <si>
    <t>L2-2LineBIFASICO098L3-10</t>
  </si>
  <si>
    <t>L2-2LineBIFASICO098L3-11</t>
  </si>
  <si>
    <t>L2-2LineBIFASICO098TR10</t>
  </si>
  <si>
    <t>L2-2LineBIFASICO098TR11</t>
  </si>
  <si>
    <t>L2-2LineBIFASICO52L3-30</t>
  </si>
  <si>
    <t>L2-2LineBIFASICO52L3-31</t>
  </si>
  <si>
    <t>L2-2LineBIFASICO52L3-20</t>
  </si>
  <si>
    <t>L2-2LineBIFASICO52L3-21</t>
  </si>
  <si>
    <t>L2-2LineBIFASICO52L2-20</t>
  </si>
  <si>
    <t>L2-2LineBIFASICO52L2-21</t>
  </si>
  <si>
    <t>L2-2LineBIFASICO52L3-10</t>
  </si>
  <si>
    <t>L2-2LineBIFASICO52L3-11</t>
  </si>
  <si>
    <t>L2-2LineBIFASICO52TR10</t>
  </si>
  <si>
    <t>L2-2LineBIFASICO52TR11</t>
  </si>
  <si>
    <t>L2-2LineBIFASICO550L3-30</t>
  </si>
  <si>
    <t>L2-2LineBIFASICO550L3-31</t>
  </si>
  <si>
    <t>L2-2LineBIFASICO550L3-20</t>
  </si>
  <si>
    <t>L2-2LineBIFASICO550L3-21</t>
  </si>
  <si>
    <t>L2-2LineBIFASICO550L2-20</t>
  </si>
  <si>
    <t>L2-2LineBIFASICO550L2-21</t>
  </si>
  <si>
    <t>L2-2LineBIFASICO550L3-10</t>
  </si>
  <si>
    <t>L2-2LineBIFASICO550L3-11</t>
  </si>
  <si>
    <t>L2-2LineBIFASICO550TR10</t>
  </si>
  <si>
    <t>L2-2LineBIFASICO550TR11</t>
  </si>
  <si>
    <t>L2-2LineBIFASICO598L3-30</t>
  </si>
  <si>
    <t>L2-2LineBIFASICO598L3-31</t>
  </si>
  <si>
    <t>L2-2LineBIFASICO598L3-20</t>
  </si>
  <si>
    <t>L2-2LineBIFASICO598L3-21</t>
  </si>
  <si>
    <t>L2-2LineBIFASICO598L2-20</t>
  </si>
  <si>
    <t>L2-2LineBIFASICO598L2-21</t>
  </si>
  <si>
    <t>L2-2LineBIFASICO598L3-10</t>
  </si>
  <si>
    <t>L2-2LineBIFASICO598L3-11</t>
  </si>
  <si>
    <t>L2-2LineBIFASICO598TR10</t>
  </si>
  <si>
    <t>L2-2LineBIFASICO598TR11</t>
  </si>
  <si>
    <t>L2-2LineBIFASICO102L3-30</t>
  </si>
  <si>
    <t>L2-2LineBIFASICO102L3-31</t>
  </si>
  <si>
    <t>L2-2LineBIFASICO102L3-20</t>
  </si>
  <si>
    <t>L2-2LineBIFASICO102L3-21</t>
  </si>
  <si>
    <t>L2-2LineBIFASICO102L2-20</t>
  </si>
  <si>
    <t>L2-2LineBIFASICO102L2-21</t>
  </si>
  <si>
    <t>L2-2LineBIFASICO102L3-10</t>
  </si>
  <si>
    <t>L2-2LineBIFASICO102L3-11</t>
  </si>
  <si>
    <t>L2-2LineBIFASICO102TR10</t>
  </si>
  <si>
    <t>L2-2LineBIFASICO102TR11</t>
  </si>
  <si>
    <t>L2-2LineBIFASICO1050L3-30</t>
  </si>
  <si>
    <t>L2-2LineBIFASICO1050L3-31</t>
  </si>
  <si>
    <t>L2-2LineBIFASICO1050L3-20</t>
  </si>
  <si>
    <t>L2-2LineBIFASICO1050L3-21</t>
  </si>
  <si>
    <t>L2-2LineBIFASICO1050L2-20</t>
  </si>
  <si>
    <t>L2-2LineBIFASICO1050L2-21</t>
  </si>
  <si>
    <t>L2-2LineBIFASICO1050L3-10</t>
  </si>
  <si>
    <t>L2-2LineBIFASICO1050L3-11</t>
  </si>
  <si>
    <t>L2-2LineBIFASICO1050TR10</t>
  </si>
  <si>
    <t>L2-2LineBIFASICO1050TR11</t>
  </si>
  <si>
    <t>L2-2LineBIFASICO1098L3-30</t>
  </si>
  <si>
    <t>L2-2LineBIFASICO1098L3-31</t>
  </si>
  <si>
    <t>L2-2LineBIFASICO1098L3-20</t>
  </si>
  <si>
    <t>L2-2LineBIFASICO1098L3-21</t>
  </si>
  <si>
    <t>L2-2LineBIFASICO1098L2-20</t>
  </si>
  <si>
    <t>L2-2LineBIFASICO1098L2-21</t>
  </si>
  <si>
    <t>L2-2LineBIFASICO1098L3-10</t>
  </si>
  <si>
    <t>L2-2LineBIFASICO1098L3-11</t>
  </si>
  <si>
    <t>L2-2LineBIFASICO1098TR10</t>
  </si>
  <si>
    <t>L2-2LineBIFASICO1098TR11</t>
  </si>
  <si>
    <t>L2-2LineBIFASICO302L3-30</t>
  </si>
  <si>
    <t>L2-2LineBIFASICO302L3-31</t>
  </si>
  <si>
    <t>L2-2LineBIFASICO302L3-20</t>
  </si>
  <si>
    <t>L2-2LineBIFASICO302L3-21</t>
  </si>
  <si>
    <t>L2-2LineBIFASICO302L2-20</t>
  </si>
  <si>
    <t>L2-2LineBIFASICO302L2-21</t>
  </si>
  <si>
    <t>L2-2LineBIFASICO302L3-10</t>
  </si>
  <si>
    <t>L2-2LineBIFASICO302L3-11</t>
  </si>
  <si>
    <t>L2-2LineBIFASICO302TR10</t>
  </si>
  <si>
    <t>L2-2LineBIFASICO302TR11</t>
  </si>
  <si>
    <t>L2-2LineBIFASICO3050L3-30</t>
  </si>
  <si>
    <t>L2-2LineBIFASICO3050L3-31</t>
  </si>
  <si>
    <t>L2-2LineBIFASICO3050L3-20</t>
  </si>
  <si>
    <t>L2-2LineBIFASICO3050L3-21</t>
  </si>
  <si>
    <t>L2-2LineBIFASICO3050L2-20</t>
  </si>
  <si>
    <t>L2-2LineBIFASICO3050L2-21</t>
  </si>
  <si>
    <t>L2-2LineBIFASICO3050L3-10</t>
  </si>
  <si>
    <t>L2-2LineBIFASICO3050L3-11</t>
  </si>
  <si>
    <t>L2-2LineBIFASICO3050TR10</t>
  </si>
  <si>
    <t>L2-2LineBIFASICO3050TR11</t>
  </si>
  <si>
    <t>L2-2LineBIFASICO3098L3-30</t>
  </si>
  <si>
    <t>L2-2LineBIFASICO3098L3-31</t>
  </si>
  <si>
    <t>L2-2LineBIFASICO3098L3-20</t>
  </si>
  <si>
    <t>L2-2LineBIFASICO3098L3-21</t>
  </si>
  <si>
    <t>L2-2LineBIFASICO3098L2-20</t>
  </si>
  <si>
    <t>L2-2LineBIFASICO3098L2-21</t>
  </si>
  <si>
    <t>L2-2LineBIFASICO3098L3-10</t>
  </si>
  <si>
    <t>L2-2LineBIFASICO3098L3-11</t>
  </si>
  <si>
    <t>L2-2LineBIFASICO3098TR10</t>
  </si>
  <si>
    <t>L2-2LineBIFASICO3098TR11</t>
  </si>
  <si>
    <t>L2-2LineBIFASICO_TIERRA02L3-30</t>
  </si>
  <si>
    <t>L2-2LineBIFASICO_TIERRA02L3-31</t>
  </si>
  <si>
    <t>L2-2LineBIFASICO_TIERRA02L3-20</t>
  </si>
  <si>
    <t>L2-2LineBIFASICO_TIERRA02L3-21</t>
  </si>
  <si>
    <t>L2-2LineBIFASICO_TIERRA02L2-20</t>
  </si>
  <si>
    <t>L2-2LineBIFASICO_TIERRA02L2-21</t>
  </si>
  <si>
    <t>L2-2LineBIFASICO_TIERRA02L3-10</t>
  </si>
  <si>
    <t>L2-2LineBIFASICO_TIERRA02L3-11</t>
  </si>
  <si>
    <t>L2-2LineBIFASICO_TIERRA02TR10</t>
  </si>
  <si>
    <t>L2-2LineBIFASICO_TIERRA02TR11</t>
  </si>
  <si>
    <t>L2-2LineBIFASICO_TIERRA050L3-30</t>
  </si>
  <si>
    <t>L2-2LineBIFASICO_TIERRA050L3-31</t>
  </si>
  <si>
    <t>L2-2LineBIFASICO_TIERRA050L3-20</t>
  </si>
  <si>
    <t>L2-2LineBIFASICO_TIERRA050L3-21</t>
  </si>
  <si>
    <t>L2-2LineBIFASICO_TIERRA050L2-20</t>
  </si>
  <si>
    <t>L2-2LineBIFASICO_TIERRA050L2-21</t>
  </si>
  <si>
    <t>L2-2LineBIFASICO_TIERRA050L3-10</t>
  </si>
  <si>
    <t>L2-2LineBIFASICO_TIERRA050L3-11</t>
  </si>
  <si>
    <t>L2-2LineBIFASICO_TIERRA050TR10</t>
  </si>
  <si>
    <t>L2-2LineBIFASICO_TIERRA050TR11</t>
  </si>
  <si>
    <t>L2-2LineBIFASICO_TIERRA098L3-30</t>
  </si>
  <si>
    <t>L2-2LineBIFASICO_TIERRA098L3-31</t>
  </si>
  <si>
    <t>L2-2LineBIFASICO_TIERRA098L3-20</t>
  </si>
  <si>
    <t>L2-2LineBIFASICO_TIERRA098L3-21</t>
  </si>
  <si>
    <t>L2-2LineBIFASICO_TIERRA098L2-20</t>
  </si>
  <si>
    <t>L2-2LineBIFASICO_TIERRA098L2-21</t>
  </si>
  <si>
    <t>L2-2LineBIFASICO_TIERRA098L3-10</t>
  </si>
  <si>
    <t>L2-2LineBIFASICO_TIERRA098L3-11</t>
  </si>
  <si>
    <t>L2-2LineBIFASICO_TIERRA098TR10</t>
  </si>
  <si>
    <t>L2-2LineBIFASICO_TIERRA098TR11</t>
  </si>
  <si>
    <t>L2-2LineBIFASICO_TIERRA52L3-30</t>
  </si>
  <si>
    <t>L2-2LineBIFASICO_TIERRA52L3-31</t>
  </si>
  <si>
    <t>L2-2LineBIFASICO_TIERRA52L3-20</t>
  </si>
  <si>
    <t>L2-2LineBIFASICO_TIERRA52L3-21</t>
  </si>
  <si>
    <t>L2-2LineBIFASICO_TIERRA52L2-20</t>
  </si>
  <si>
    <t>L2-2LineBIFASICO_TIERRA52L2-21</t>
  </si>
  <si>
    <t>L2-2LineBIFASICO_TIERRA52L3-10</t>
  </si>
  <si>
    <t>L2-2LineBIFASICO_TIERRA52L3-11</t>
  </si>
  <si>
    <t>L2-2LineBIFASICO_TIERRA52TR10</t>
  </si>
  <si>
    <t>L2-2LineBIFASICO_TIERRA52TR11</t>
  </si>
  <si>
    <t>L2-2LineBIFASICO_TIERRA550L3-30</t>
  </si>
  <si>
    <t>L2-2LineBIFASICO_TIERRA550L3-31</t>
  </si>
  <si>
    <t>L2-2LineBIFASICO_TIERRA550L3-20</t>
  </si>
  <si>
    <t>L2-2LineBIFASICO_TIERRA550L3-21</t>
  </si>
  <si>
    <t>L2-2LineBIFASICO_TIERRA550L2-20</t>
  </si>
  <si>
    <t>L2-2LineBIFASICO_TIERRA550L2-21</t>
  </si>
  <si>
    <t>L2-2LineBIFASICO_TIERRA550L3-10</t>
  </si>
  <si>
    <t>L2-2LineBIFASICO_TIERRA550L3-11</t>
  </si>
  <si>
    <t>L2-2LineBIFASICO_TIERRA550TR10</t>
  </si>
  <si>
    <t>L2-2LineBIFASICO_TIERRA550TR11</t>
  </si>
  <si>
    <t>L2-2LineBIFASICO_TIERRA598L3-30</t>
  </si>
  <si>
    <t>L2-2LineBIFASICO_TIERRA598L3-31</t>
  </si>
  <si>
    <t>L2-2LineBIFASICO_TIERRA598L3-20</t>
  </si>
  <si>
    <t>L2-2LineBIFASICO_TIERRA598L3-21</t>
  </si>
  <si>
    <t>L2-2LineBIFASICO_TIERRA598L2-20</t>
  </si>
  <si>
    <t>L2-2LineBIFASICO_TIERRA598L2-21</t>
  </si>
  <si>
    <t>L2-2LineBIFASICO_TIERRA598L3-10</t>
  </si>
  <si>
    <t>L2-2LineBIFASICO_TIERRA598L3-11</t>
  </si>
  <si>
    <t>L2-2LineBIFASICO_TIERRA598TR10</t>
  </si>
  <si>
    <t>L2-2LineBIFASICO_TIERRA598TR11</t>
  </si>
  <si>
    <t>L2-2LineBIFASICO_TIERRA102L3-30</t>
  </si>
  <si>
    <t>L2-2LineBIFASICO_TIERRA102L3-31</t>
  </si>
  <si>
    <t>L2-2LineBIFASICO_TIERRA102L3-20</t>
  </si>
  <si>
    <t>L2-2LineBIFASICO_TIERRA102L3-21</t>
  </si>
  <si>
    <t>L2-2LineBIFASICO_TIERRA102L2-20</t>
  </si>
  <si>
    <t>L2-2LineBIFASICO_TIERRA102L2-21</t>
  </si>
  <si>
    <t>L2-2LineBIFASICO_TIERRA102L3-10</t>
  </si>
  <si>
    <t>L2-2LineBIFASICO_TIERRA102L3-11</t>
  </si>
  <si>
    <t>L2-2LineBIFASICO_TIERRA102TR10</t>
  </si>
  <si>
    <t>L2-2LineBIFASICO_TIERRA102TR11</t>
  </si>
  <si>
    <t>L2-2LineBIFASICO_TIERRA1050L3-30</t>
  </si>
  <si>
    <t>L2-2LineBIFASICO_TIERRA1050L3-31</t>
  </si>
  <si>
    <t>L2-2LineBIFASICO_TIERRA1050L3-20</t>
  </si>
  <si>
    <t>L2-2LineBIFASICO_TIERRA1050L3-21</t>
  </si>
  <si>
    <t>L2-2LineBIFASICO_TIERRA1050L2-20</t>
  </si>
  <si>
    <t>L2-2LineBIFASICO_TIERRA1050L2-21</t>
  </si>
  <si>
    <t>L2-2LineBIFASICO_TIERRA1050L3-10</t>
  </si>
  <si>
    <t>L2-2LineBIFASICO_TIERRA1050L3-11</t>
  </si>
  <si>
    <t>L2-2LineBIFASICO_TIERRA1050TR10</t>
  </si>
  <si>
    <t>L2-2LineBIFASICO_TIERRA1050TR11</t>
  </si>
  <si>
    <t>L2-2LineBIFASICO_TIERRA1098L3-30</t>
  </si>
  <si>
    <t>L2-2LineBIFASICO_TIERRA1098L3-31</t>
  </si>
  <si>
    <t>L2-2LineBIFASICO_TIERRA1098L3-20</t>
  </si>
  <si>
    <t>L2-2LineBIFASICO_TIERRA1098L3-21</t>
  </si>
  <si>
    <t>L2-2LineBIFASICO_TIERRA1098L2-20</t>
  </si>
  <si>
    <t>L2-2LineBIFASICO_TIERRA1098L2-21</t>
  </si>
  <si>
    <t>L2-2LineBIFASICO_TIERRA1098L3-10</t>
  </si>
  <si>
    <t>L2-2LineBIFASICO_TIERRA1098L3-11</t>
  </si>
  <si>
    <t>L2-2LineBIFASICO_TIERRA1098TR10</t>
  </si>
  <si>
    <t>L2-2LineBIFASICO_TIERRA1098TR11</t>
  </si>
  <si>
    <t>L2-2LineBIFASICO_TIERRA302L3-30</t>
  </si>
  <si>
    <t>L2-2LineBIFASICO_TIERRA302L3-31</t>
  </si>
  <si>
    <t>L2-2LineBIFASICO_TIERRA302L3-20</t>
  </si>
  <si>
    <t>L2-2LineBIFASICO_TIERRA302L3-21</t>
  </si>
  <si>
    <t>L2-2LineBIFASICO_TIERRA302L2-20</t>
  </si>
  <si>
    <t>L2-2LineBIFASICO_TIERRA302L2-21</t>
  </si>
  <si>
    <t>L2-2LineBIFASICO_TIERRA302L3-10</t>
  </si>
  <si>
    <t>L2-2LineBIFASICO_TIERRA302L3-11</t>
  </si>
  <si>
    <t>L2-2LineBIFASICO_TIERRA302TR10</t>
  </si>
  <si>
    <t>L2-2LineBIFASICO_TIERRA302TR11</t>
  </si>
  <si>
    <t>L2-2LineBIFASICO_TIERRA3050L3-30</t>
  </si>
  <si>
    <t>L2-2LineBIFASICO_TIERRA3050L3-31</t>
  </si>
  <si>
    <t>L2-2LineBIFASICO_TIERRA3050L3-20</t>
  </si>
  <si>
    <t>L2-2LineBIFASICO_TIERRA3050L3-21</t>
  </si>
  <si>
    <t>L2-2LineBIFASICO_TIERRA3050L2-20</t>
  </si>
  <si>
    <t>L2-2LineBIFASICO_TIERRA3050L2-21</t>
  </si>
  <si>
    <t>L2-2LineBIFASICO_TIERRA3050L3-10</t>
  </si>
  <si>
    <t>L2-2LineBIFASICO_TIERRA3050L3-11</t>
  </si>
  <si>
    <t>L2-2LineBIFASICO_TIERRA3050TR10</t>
  </si>
  <si>
    <t>L2-2LineBIFASICO_TIERRA3050TR11</t>
  </si>
  <si>
    <t>L2-2LineBIFASICO_TIERRA3098L3-30</t>
  </si>
  <si>
    <t>L2-2LineBIFASICO_TIERRA3098L3-31</t>
  </si>
  <si>
    <t>L2-2LineBIFASICO_TIERRA3098L3-20</t>
  </si>
  <si>
    <t>L2-2LineBIFASICO_TIERRA3098L3-21</t>
  </si>
  <si>
    <t>L2-2LineBIFASICO_TIERRA3098L2-20</t>
  </si>
  <si>
    <t>L2-2LineBIFASICO_TIERRA3098L2-21</t>
  </si>
  <si>
    <t>L2-2LineBIFASICO_TIERRA3098L3-10</t>
  </si>
  <si>
    <t>L2-2LineBIFASICO_TIERRA3098L3-11</t>
  </si>
  <si>
    <t>L2-2LineBIFASICO_TIERRA3098TR10</t>
  </si>
  <si>
    <t>L2-2LineBIFASICO_TIERRA3098TR11</t>
  </si>
  <si>
    <t>ADELANTE</t>
  </si>
  <si>
    <t>BIDIECCIONAL</t>
  </si>
  <si>
    <t>Ruta1</t>
  </si>
  <si>
    <t>Ruta2</t>
  </si>
  <si>
    <t>DIRECCIÓN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</si>
</sst>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</font>
    <font>
      <b/>
      <sz val="6"/>
      <color rgb="FF000000"/>
      <name val="Arial"/>
      <family val="2"/>
    </font>
    <font>
      <b/>
      <sz val="7"/>
      <color rgb="FF000000"/>
      <name val="Calibri"/>
      <family val="2"/>
    </font>
    <font>
      <sz val="7"/>
      <color rgb="FF000000"/>
      <name val="Calibri"/>
      <family val="2"/>
    </font>
    <font>
      <sz val="7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9A9A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3">
    <xf numFmtId="0" fontId="0" fillId="0" borderId="0" xfId="0"/>
    <xf numFmtId="0" fontId="16" fillId="0" borderId="0" xfId="0" applyFont="1"/>
    <xf numFmtId="0" fontId="16" fillId="33" borderId="10" xfId="0" applyFont="1" applyFill="1" applyBorder="1" applyAlignment="1">
      <alignment vertical="top" wrapText="1"/>
    </xf>
    <xf numFmtId="0" fontId="18" fillId="0" borderId="0" xfId="0" applyFont="1"/>
    <xf numFmtId="0" fontId="18" fillId="0" borderId="10" xfId="0" applyFont="1" applyBorder="1" applyAlignment="1">
      <alignment wrapText="1"/>
    </xf>
    <xf numFmtId="0" fontId="18" fillId="0" borderId="11" xfId="0" applyFont="1" applyBorder="1"/>
    <xf numFmtId="0" fontId="21" fillId="36" borderId="11" xfId="0" applyFont="1" applyFill="1" applyBorder="1" applyAlignment="1">
      <alignment horizontal="center" vertical="center" wrapText="1"/>
    </xf>
    <xf numFmtId="0" fontId="19" fillId="34" borderId="11" xfId="0" applyFont="1" applyFill="1" applyBorder="1" applyAlignment="1">
      <alignment horizontal="center" vertical="center" wrapText="1"/>
    </xf>
    <xf numFmtId="0" fontId="21" fillId="37" borderId="11" xfId="0" applyFont="1" applyFill="1" applyBorder="1" applyAlignment="1">
      <alignment horizontal="center" vertical="center" wrapText="1"/>
    </xf>
    <xf numFmtId="0" fontId="19" fillId="35" borderId="11" xfId="0" applyFont="1" applyFill="1" applyBorder="1" applyAlignment="1">
      <alignment horizontal="center" vertical="center" wrapText="1"/>
    </xf>
    <xf numFmtId="1" fontId="18" fillId="0" borderId="11" xfId="0" applyNumberFormat="1" applyFont="1" applyBorder="1"/>
    <xf numFmtId="0" fontId="22" fillId="0" borderId="11" xfId="0" applyFont="1" applyFill="1" applyBorder="1" applyAlignment="1">
      <alignment horizontal="center" vertical="center"/>
    </xf>
    <xf numFmtId="1" fontId="22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center" vertical="center"/>
    </xf>
    <xf numFmtId="1" fontId="23" fillId="0" borderId="11" xfId="0" applyNumberFormat="1" applyFont="1" applyFill="1" applyBorder="1" applyAlignment="1">
      <alignment horizontal="center" vertical="center" wrapText="1"/>
    </xf>
    <xf numFmtId="0" fontId="21" fillId="39" borderId="11" xfId="0" applyFont="1" applyFill="1" applyBorder="1" applyAlignment="1">
      <alignment horizontal="center" vertical="center" wrapText="1"/>
    </xf>
    <xf numFmtId="2" fontId="22" fillId="0" borderId="11" xfId="0" applyNumberFormat="1" applyFont="1" applyFill="1" applyBorder="1" applyAlignment="1">
      <alignment horizontal="center" vertical="center"/>
    </xf>
    <xf numFmtId="0" fontId="0" fillId="0" borderId="11" xfId="0" applyFill="1" applyBorder="1"/>
    <xf numFmtId="0" fontId="22" fillId="0" borderId="11" xfId="0" applyFont="1" applyFill="1" applyBorder="1" applyAlignment="1">
      <alignment horizontal="center" vertical="center"/>
    </xf>
    <xf numFmtId="0" fontId="21" fillId="42" borderId="11" xfId="0" applyFont="1" applyFill="1" applyBorder="1" applyAlignment="1">
      <alignment horizontal="center" vertical="center" wrapText="1"/>
    </xf>
    <xf numFmtId="0" fontId="18" fillId="0" borderId="0" xfId="0" applyFont="1" applyFill="1"/>
    <xf numFmtId="49" fontId="22" fillId="0" borderId="11" xfId="0" applyNumberFormat="1" applyFont="1" applyFill="1" applyBorder="1" applyAlignment="1">
      <alignment horizontal="center" vertical="center"/>
    </xf>
    <xf numFmtId="0" fontId="0" fillId="0" borderId="11" xfId="0" applyBorder="1"/>
    <xf numFmtId="164" fontId="0" fillId="0" borderId="0" xfId="0" applyNumberFormat="1"/>
    <xf numFmtId="0" fontId="0" fillId="43" borderId="0" xfId="0" applyFill="1"/>
    <xf numFmtId="0" fontId="13" fillId="40" borderId="11" xfId="0" applyFont="1" applyFill="1" applyBorder="1" applyAlignment="1">
      <alignment horizontal="center" vertical="center"/>
    </xf>
    <xf numFmtId="0" fontId="13" fillId="35" borderId="11" xfId="0" applyFont="1" applyFill="1" applyBorder="1" applyAlignment="1">
      <alignment horizontal="center" vertical="center"/>
    </xf>
    <xf numFmtId="0" fontId="13" fillId="41" borderId="11" xfId="0" applyFont="1" applyFill="1" applyBorder="1" applyAlignment="1">
      <alignment horizontal="center" vertical="center"/>
    </xf>
    <xf numFmtId="0" fontId="13" fillId="42" borderId="11" xfId="0" applyFont="1" applyFill="1" applyBorder="1" applyAlignment="1">
      <alignment horizontal="center" vertical="center"/>
    </xf>
    <xf numFmtId="0" fontId="0" fillId="0" borderId="26" xfId="0" applyBorder="1"/>
    <xf numFmtId="0" fontId="13" fillId="40" borderId="36" xfId="0" applyFont="1" applyFill="1" applyBorder="1" applyAlignment="1">
      <alignment horizontal="center" vertical="center"/>
    </xf>
    <xf numFmtId="0" fontId="13" fillId="40" borderId="38" xfId="0" applyFont="1" applyFill="1" applyBorder="1" applyAlignment="1">
      <alignment horizontal="center" vertical="center"/>
    </xf>
    <xf numFmtId="0" fontId="13" fillId="40" borderId="39" xfId="0" applyFont="1" applyFill="1" applyBorder="1" applyAlignment="1">
      <alignment horizontal="center" vertical="center"/>
    </xf>
    <xf numFmtId="0" fontId="13" fillId="41" borderId="36" xfId="0" applyFont="1" applyFill="1" applyBorder="1" applyAlignment="1">
      <alignment horizontal="center" vertical="center"/>
    </xf>
    <xf numFmtId="0" fontId="13" fillId="41" borderId="38" xfId="0" applyFont="1" applyFill="1" applyBorder="1" applyAlignment="1">
      <alignment horizontal="center" vertical="center"/>
    </xf>
    <xf numFmtId="0" fontId="13" fillId="41" borderId="39" xfId="0" applyFont="1" applyFill="1" applyBorder="1" applyAlignment="1">
      <alignment horizontal="center" vertical="center"/>
    </xf>
    <xf numFmtId="0" fontId="13" fillId="42" borderId="36" xfId="0" applyFont="1" applyFill="1" applyBorder="1" applyAlignment="1">
      <alignment horizontal="center" vertical="center"/>
    </xf>
    <xf numFmtId="0" fontId="13" fillId="42" borderId="38" xfId="0" applyFont="1" applyFill="1" applyBorder="1" applyAlignment="1">
      <alignment horizontal="center" vertical="center"/>
    </xf>
    <xf numFmtId="0" fontId="13" fillId="42" borderId="39" xfId="0" applyFont="1" applyFill="1" applyBorder="1" applyAlignment="1">
      <alignment horizontal="center" vertical="center"/>
    </xf>
    <xf numFmtId="0" fontId="13" fillId="35" borderId="36" xfId="0" applyFont="1" applyFill="1" applyBorder="1" applyAlignment="1">
      <alignment horizontal="center" vertical="center"/>
    </xf>
    <xf numFmtId="0" fontId="13" fillId="35" borderId="38" xfId="0" applyFont="1" applyFill="1" applyBorder="1" applyAlignment="1">
      <alignment horizontal="center" vertical="center"/>
    </xf>
    <xf numFmtId="0" fontId="13" fillId="35" borderId="39" xfId="0" applyFont="1" applyFill="1" applyBorder="1" applyAlignment="1">
      <alignment horizontal="center" vertical="center"/>
    </xf>
    <xf numFmtId="0" fontId="18" fillId="46" borderId="10" xfId="0" applyFont="1" applyFill="1" applyBorder="1" applyAlignment="1">
      <alignment wrapText="1"/>
    </xf>
    <xf numFmtId="0" fontId="0" fillId="46" borderId="26" xfId="0" applyFill="1" applyBorder="1"/>
    <xf numFmtId="164" fontId="0" fillId="46" borderId="26" xfId="0" applyNumberFormat="1" applyFill="1" applyBorder="1"/>
    <xf numFmtId="165" fontId="0" fillId="46" borderId="26" xfId="0" applyNumberFormat="1" applyFill="1" applyBorder="1"/>
    <xf numFmtId="165" fontId="0" fillId="46" borderId="11" xfId="0" applyNumberFormat="1" applyFill="1" applyBorder="1"/>
    <xf numFmtId="0" fontId="0" fillId="4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3" fillId="40" borderId="39" xfId="0" applyFont="1" applyFill="1" applyBorder="1" applyAlignment="1">
      <alignment horizontal="center" vertical="center"/>
    </xf>
    <xf numFmtId="0" fontId="13" fillId="40" borderId="11" xfId="0" applyFont="1" applyFill="1" applyBorder="1" applyAlignment="1">
      <alignment horizontal="center" vertical="center"/>
    </xf>
    <xf numFmtId="0" fontId="21" fillId="39" borderId="11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/>
    </xf>
    <xf numFmtId="0" fontId="21" fillId="36" borderId="11" xfId="0" applyFont="1" applyFill="1" applyBorder="1" applyAlignment="1">
      <alignment horizontal="center" vertical="center" wrapText="1"/>
    </xf>
    <xf numFmtId="0" fontId="21" fillId="35" borderId="11" xfId="0" applyFont="1" applyFill="1" applyBorder="1" applyAlignment="1">
      <alignment horizontal="center" vertical="center" wrapText="1"/>
    </xf>
    <xf numFmtId="0" fontId="21" fillId="37" borderId="11" xfId="0" applyFont="1" applyFill="1" applyBorder="1" applyAlignment="1">
      <alignment horizontal="center" vertical="center" wrapText="1"/>
    </xf>
    <xf numFmtId="0" fontId="21" fillId="36" borderId="11" xfId="0" applyFont="1" applyFill="1" applyBorder="1" applyAlignment="1">
      <alignment horizontal="center" vertical="center" wrapText="1"/>
    </xf>
    <xf numFmtId="0" fontId="21" fillId="35" borderId="11" xfId="0" applyFont="1" applyFill="1" applyBorder="1" applyAlignment="1">
      <alignment horizontal="center" vertical="center" wrapText="1"/>
    </xf>
    <xf numFmtId="0" fontId="19" fillId="34" borderId="13" xfId="0" applyFont="1" applyFill="1" applyBorder="1" applyAlignment="1">
      <alignment vertical="center" wrapText="1"/>
    </xf>
    <xf numFmtId="0" fontId="19" fillId="34" borderId="12" xfId="0" applyFont="1" applyFill="1" applyBorder="1" applyAlignment="1">
      <alignment vertical="center" wrapText="1"/>
    </xf>
    <xf numFmtId="0" fontId="18" fillId="0" borderId="46" xfId="0" applyFont="1" applyBorder="1" applyAlignment="1">
      <alignment wrapText="1"/>
    </xf>
    <xf numFmtId="0" fontId="19" fillId="34" borderId="14" xfId="0" applyFont="1" applyFill="1" applyBorder="1" applyAlignment="1">
      <alignment horizontal="center" vertical="center" wrapText="1"/>
    </xf>
    <xf numFmtId="0" fontId="19" fillId="34" borderId="27" xfId="0" applyFont="1" applyFill="1" applyBorder="1" applyAlignment="1">
      <alignment horizontal="center" vertical="center" wrapText="1"/>
    </xf>
    <xf numFmtId="0" fontId="19" fillId="34" borderId="24" xfId="0" applyFont="1" applyFill="1" applyBorder="1" applyAlignment="1">
      <alignment horizontal="center" vertical="center" wrapText="1"/>
    </xf>
    <xf numFmtId="0" fontId="19" fillId="34" borderId="26" xfId="0" applyFont="1" applyFill="1" applyBorder="1" applyAlignment="1">
      <alignment horizontal="center" vertical="center" wrapText="1"/>
    </xf>
    <xf numFmtId="0" fontId="19" fillId="35" borderId="24" xfId="0" applyFont="1" applyFill="1" applyBorder="1" applyAlignment="1">
      <alignment horizontal="center" vertical="center" wrapText="1"/>
    </xf>
    <xf numFmtId="0" fontId="19" fillId="35" borderId="26" xfId="0" applyFont="1" applyFill="1" applyBorder="1" applyAlignment="1">
      <alignment horizontal="center" vertical="center" wrapText="1"/>
    </xf>
    <xf numFmtId="0" fontId="19" fillId="35" borderId="11" xfId="0" applyFont="1" applyFill="1" applyBorder="1" applyAlignment="1">
      <alignment horizontal="center" vertical="center" wrapText="1"/>
    </xf>
    <xf numFmtId="0" fontId="19" fillId="34" borderId="11" xfId="0" applyFont="1" applyFill="1" applyBorder="1" applyAlignment="1">
      <alignment horizontal="center" vertical="center" wrapText="1"/>
    </xf>
    <xf numFmtId="0" fontId="21" fillId="36" borderId="11" xfId="0" applyFont="1" applyFill="1" applyBorder="1" applyAlignment="1">
      <alignment horizontal="center" vertical="center" wrapText="1"/>
    </xf>
    <xf numFmtId="0" fontId="20" fillId="36" borderId="11" xfId="0" applyFont="1" applyFill="1" applyBorder="1" applyAlignment="1">
      <alignment horizontal="center" vertical="center"/>
    </xf>
    <xf numFmtId="0" fontId="20" fillId="35" borderId="15" xfId="0" applyFont="1" applyFill="1" applyBorder="1" applyAlignment="1">
      <alignment horizontal="center" vertical="center" wrapText="1"/>
    </xf>
    <xf numFmtId="0" fontId="20" fillId="35" borderId="16" xfId="0" applyFont="1" applyFill="1" applyBorder="1" applyAlignment="1">
      <alignment horizontal="center" vertical="center"/>
    </xf>
    <xf numFmtId="0" fontId="20" fillId="35" borderId="17" xfId="0" applyFont="1" applyFill="1" applyBorder="1" applyAlignment="1">
      <alignment horizontal="center" vertical="center"/>
    </xf>
    <xf numFmtId="0" fontId="20" fillId="35" borderId="18" xfId="0" applyFont="1" applyFill="1" applyBorder="1" applyAlignment="1">
      <alignment horizontal="center" vertical="center"/>
    </xf>
    <xf numFmtId="0" fontId="20" fillId="35" borderId="19" xfId="0" applyFont="1" applyFill="1" applyBorder="1" applyAlignment="1">
      <alignment horizontal="center" vertical="center"/>
    </xf>
    <xf numFmtId="0" fontId="20" fillId="35" borderId="20" xfId="0" applyFont="1" applyFill="1" applyBorder="1" applyAlignment="1">
      <alignment horizontal="center" vertical="center"/>
    </xf>
    <xf numFmtId="0" fontId="21" fillId="35" borderId="11" xfId="0" applyFont="1" applyFill="1" applyBorder="1" applyAlignment="1">
      <alignment horizontal="center" vertical="center" wrapText="1"/>
    </xf>
    <xf numFmtId="0" fontId="20" fillId="37" borderId="11" xfId="0" applyFont="1" applyFill="1" applyBorder="1" applyAlignment="1">
      <alignment horizontal="center" vertical="center" wrapText="1"/>
    </xf>
    <xf numFmtId="0" fontId="21" fillId="37" borderId="11" xfId="0" applyFont="1" applyFill="1" applyBorder="1" applyAlignment="1">
      <alignment horizontal="center" vertical="center" wrapText="1"/>
    </xf>
    <xf numFmtId="0" fontId="16" fillId="43" borderId="11" xfId="0" applyFont="1" applyFill="1" applyBorder="1" applyAlignment="1">
      <alignment horizontal="center"/>
    </xf>
    <xf numFmtId="0" fontId="19" fillId="35" borderId="28" xfId="0" applyFont="1" applyFill="1" applyBorder="1" applyAlignment="1">
      <alignment horizontal="center" vertical="center" wrapText="1"/>
    </xf>
    <xf numFmtId="0" fontId="16" fillId="38" borderId="13" xfId="0" applyFont="1" applyFill="1" applyBorder="1" applyAlignment="1">
      <alignment horizontal="center" vertical="center"/>
    </xf>
    <xf numFmtId="0" fontId="16" fillId="38" borderId="21" xfId="0" applyFont="1" applyFill="1" applyBorder="1" applyAlignment="1">
      <alignment horizontal="center" vertical="center"/>
    </xf>
    <xf numFmtId="0" fontId="16" fillId="38" borderId="22" xfId="0" applyFont="1" applyFill="1" applyBorder="1" applyAlignment="1">
      <alignment horizontal="center" vertical="center"/>
    </xf>
    <xf numFmtId="0" fontId="21" fillId="39" borderId="11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2" fillId="0" borderId="26" xfId="0" applyFont="1" applyFill="1" applyBorder="1" applyAlignment="1">
      <alignment horizontal="center" vertical="center"/>
    </xf>
    <xf numFmtId="0" fontId="16" fillId="38" borderId="23" xfId="0" applyFont="1" applyFill="1" applyBorder="1" applyAlignment="1">
      <alignment horizontal="center" vertical="center"/>
    </xf>
    <xf numFmtId="0" fontId="16" fillId="38" borderId="19" xfId="0" applyFont="1" applyFill="1" applyBorder="1" applyAlignment="1">
      <alignment horizontal="center" vertical="center"/>
    </xf>
    <xf numFmtId="0" fontId="27" fillId="45" borderId="29" xfId="0" applyFont="1" applyFill="1" applyBorder="1" applyAlignment="1">
      <alignment horizontal="center"/>
    </xf>
    <xf numFmtId="0" fontId="27" fillId="45" borderId="30" xfId="0" applyFont="1" applyFill="1" applyBorder="1" applyAlignment="1">
      <alignment horizontal="center"/>
    </xf>
    <xf numFmtId="0" fontId="27" fillId="45" borderId="31" xfId="0" applyFont="1" applyFill="1" applyBorder="1" applyAlignment="1">
      <alignment horizontal="center"/>
    </xf>
    <xf numFmtId="0" fontId="13" fillId="40" borderId="32" xfId="0" applyFont="1" applyFill="1" applyBorder="1" applyAlignment="1">
      <alignment horizontal="center" vertical="center" wrapText="1"/>
    </xf>
    <xf numFmtId="0" fontId="13" fillId="40" borderId="37" xfId="0" applyFont="1" applyFill="1" applyBorder="1" applyAlignment="1">
      <alignment horizontal="center" vertical="center"/>
    </xf>
    <xf numFmtId="0" fontId="13" fillId="35" borderId="35" xfId="0" applyFont="1" applyFill="1" applyBorder="1" applyAlignment="1">
      <alignment horizontal="center" vertical="center"/>
    </xf>
    <xf numFmtId="0" fontId="13" fillId="35" borderId="37" xfId="0" applyFont="1" applyFill="1" applyBorder="1" applyAlignment="1">
      <alignment horizontal="center" vertical="center"/>
    </xf>
    <xf numFmtId="0" fontId="13" fillId="41" borderId="32" xfId="0" applyFont="1" applyFill="1" applyBorder="1" applyAlignment="1">
      <alignment horizontal="center" vertical="center"/>
    </xf>
    <xf numFmtId="0" fontId="13" fillId="41" borderId="33" xfId="0" applyFont="1" applyFill="1" applyBorder="1" applyAlignment="1">
      <alignment horizontal="center" vertical="center"/>
    </xf>
    <xf numFmtId="0" fontId="13" fillId="41" borderId="34" xfId="0" applyFont="1" applyFill="1" applyBorder="1" applyAlignment="1">
      <alignment horizontal="center" vertical="center"/>
    </xf>
    <xf numFmtId="0" fontId="13" fillId="42" borderId="32" xfId="0" applyFont="1" applyFill="1" applyBorder="1" applyAlignment="1">
      <alignment horizontal="center" vertical="center"/>
    </xf>
    <xf numFmtId="0" fontId="13" fillId="42" borderId="33" xfId="0" applyFont="1" applyFill="1" applyBorder="1" applyAlignment="1">
      <alignment horizontal="center" vertical="center"/>
    </xf>
    <xf numFmtId="0" fontId="13" fillId="42" borderId="34" xfId="0" applyFont="1" applyFill="1" applyBorder="1" applyAlignment="1">
      <alignment horizontal="center" vertical="center"/>
    </xf>
    <xf numFmtId="0" fontId="13" fillId="35" borderId="32" xfId="0" applyFont="1" applyFill="1" applyBorder="1" applyAlignment="1">
      <alignment horizontal="center" vertical="center"/>
    </xf>
    <xf numFmtId="0" fontId="13" fillId="35" borderId="33" xfId="0" applyFont="1" applyFill="1" applyBorder="1" applyAlignment="1">
      <alignment horizontal="center" vertical="center"/>
    </xf>
    <xf numFmtId="0" fontId="13" fillId="35" borderId="34" xfId="0" applyFont="1" applyFill="1" applyBorder="1" applyAlignment="1">
      <alignment horizontal="center" vertical="center"/>
    </xf>
    <xf numFmtId="0" fontId="13" fillId="40" borderId="34" xfId="0" applyFont="1" applyFill="1" applyBorder="1" applyAlignment="1">
      <alignment horizontal="center" vertical="center"/>
    </xf>
    <xf numFmtId="0" fontId="13" fillId="40" borderId="39" xfId="0" applyFont="1" applyFill="1" applyBorder="1" applyAlignment="1">
      <alignment horizontal="center" vertical="center"/>
    </xf>
    <xf numFmtId="0" fontId="13" fillId="40" borderId="35" xfId="0" applyFont="1" applyFill="1" applyBorder="1" applyAlignment="1">
      <alignment horizontal="center" vertical="center"/>
    </xf>
    <xf numFmtId="0" fontId="13" fillId="41" borderId="35" xfId="0" applyFont="1" applyFill="1" applyBorder="1" applyAlignment="1">
      <alignment horizontal="center" vertical="center"/>
    </xf>
    <xf numFmtId="0" fontId="13" fillId="41" borderId="37" xfId="0" applyFont="1" applyFill="1" applyBorder="1" applyAlignment="1">
      <alignment horizontal="center" vertical="center"/>
    </xf>
    <xf numFmtId="0" fontId="13" fillId="42" borderId="35" xfId="0" applyFont="1" applyFill="1" applyBorder="1" applyAlignment="1">
      <alignment horizontal="center" vertical="center"/>
    </xf>
    <xf numFmtId="0" fontId="13" fillId="42" borderId="37" xfId="0" applyFont="1" applyFill="1" applyBorder="1" applyAlignment="1">
      <alignment horizontal="center" vertical="center"/>
    </xf>
    <xf numFmtId="0" fontId="13" fillId="40" borderId="32" xfId="0" applyFont="1" applyFill="1" applyBorder="1" applyAlignment="1">
      <alignment horizontal="center" vertical="center"/>
    </xf>
    <xf numFmtId="0" fontId="13" fillId="40" borderId="33" xfId="0" applyFont="1" applyFill="1" applyBorder="1" applyAlignment="1">
      <alignment horizontal="center" vertical="center"/>
    </xf>
    <xf numFmtId="0" fontId="27" fillId="45" borderId="13" xfId="0" applyFont="1" applyFill="1" applyBorder="1" applyAlignment="1">
      <alignment horizontal="center"/>
    </xf>
    <xf numFmtId="0" fontId="27" fillId="45" borderId="21" xfId="0" applyFont="1" applyFill="1" applyBorder="1" applyAlignment="1">
      <alignment horizontal="center"/>
    </xf>
    <xf numFmtId="0" fontId="13" fillId="40" borderId="43" xfId="0" applyFont="1" applyFill="1" applyBorder="1" applyAlignment="1">
      <alignment horizontal="center" vertical="center"/>
    </xf>
    <xf numFmtId="0" fontId="13" fillId="41" borderId="43" xfId="0" applyFont="1" applyFill="1" applyBorder="1" applyAlignment="1">
      <alignment horizontal="center" vertical="center"/>
    </xf>
    <xf numFmtId="0" fontId="13" fillId="42" borderId="43" xfId="0" applyFont="1" applyFill="1" applyBorder="1" applyAlignment="1">
      <alignment horizontal="center" vertical="center"/>
    </xf>
    <xf numFmtId="0" fontId="13" fillId="35" borderId="43" xfId="0" applyFont="1" applyFill="1" applyBorder="1" applyAlignment="1">
      <alignment horizontal="center" vertical="center"/>
    </xf>
    <xf numFmtId="0" fontId="13" fillId="35" borderId="44" xfId="0" applyFont="1" applyFill="1" applyBorder="1" applyAlignment="1">
      <alignment horizontal="center" vertical="center"/>
    </xf>
    <xf numFmtId="0" fontId="13" fillId="35" borderId="45" xfId="0" applyFont="1" applyFill="1" applyBorder="1" applyAlignment="1">
      <alignment horizontal="center" vertical="center"/>
    </xf>
    <xf numFmtId="0" fontId="13" fillId="40" borderId="11" xfId="0" applyFont="1" applyFill="1" applyBorder="1" applyAlignment="1">
      <alignment horizontal="center" vertical="center" wrapText="1"/>
    </xf>
    <xf numFmtId="0" fontId="13" fillId="40" borderId="11" xfId="0" applyFont="1" applyFill="1" applyBorder="1" applyAlignment="1">
      <alignment horizontal="center" vertical="center"/>
    </xf>
    <xf numFmtId="0" fontId="13" fillId="40" borderId="14" xfId="0" applyFont="1" applyFill="1" applyBorder="1" applyAlignment="1">
      <alignment horizontal="center" vertical="center"/>
    </xf>
    <xf numFmtId="0" fontId="13" fillId="40" borderId="41" xfId="0" applyFont="1" applyFill="1" applyBorder="1" applyAlignment="1">
      <alignment horizontal="center" vertical="center"/>
    </xf>
    <xf numFmtId="0" fontId="13" fillId="40" borderId="40" xfId="0" applyFont="1" applyFill="1" applyBorder="1" applyAlignment="1">
      <alignment horizontal="center" vertical="center"/>
    </xf>
    <xf numFmtId="0" fontId="13" fillId="40" borderId="42" xfId="0" applyFont="1" applyFill="1" applyBorder="1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solid">
          <fgColor indexed="64"/>
          <bgColor rgb="FFFFC000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1</xdr:row>
          <xdr:rowOff>47625</xdr:rowOff>
        </xdr:from>
        <xdr:to>
          <xdr:col>4</xdr:col>
          <xdr:colOff>771525</xdr:colOff>
          <xdr:row>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Paso1: Descargar el Relé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4</xdr:row>
          <xdr:rowOff>9525</xdr:rowOff>
        </xdr:from>
        <xdr:to>
          <xdr:col>4</xdr:col>
          <xdr:colOff>762000</xdr:colOff>
          <xdr:row>6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Paso2: Generar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1</xdr:row>
          <xdr:rowOff>38100</xdr:rowOff>
        </xdr:from>
        <xdr:to>
          <xdr:col>8</xdr:col>
          <xdr:colOff>428625</xdr:colOff>
          <xdr:row>3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tabla de resumen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_RELE" displayName="T_RELE" ref="A13:A24" totalsRowShown="0" headerRowDxfId="3" dataDxfId="2" tableBorderDxfId="1">
  <autoFilter ref="A13:A24" xr:uid="{00000000-0009-0000-0100-000003000000}"/>
  <tableColumns count="1">
    <tableColumn id="1" xr3:uid="{00000000-0010-0000-0000-000001000000}" name="REL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S484"/>
  <sheetViews>
    <sheetView topLeftCell="K1" workbookViewId="0">
      <selection activeCell="T21" sqref="T21"/>
    </sheetView>
  </sheetViews>
  <sheetFormatPr baseColWidth="10" defaultRowHeight="15" x14ac:dyDescent="0.25"/>
  <cols>
    <col min="1" max="1" width="30.7109375" style="14" customWidth="1"/>
    <col min="2" max="12" width="20.7109375" style="14" customWidth="1"/>
    <col min="13" max="16" width="11.42578125" style="14"/>
    <col min="17" max="17" width="39.5703125" style="14" bestFit="1" customWidth="1"/>
    <col min="18" max="16384" width="11.42578125" style="14"/>
  </cols>
  <sheetData>
    <row r="1" spans="1:19" x14ac:dyDescent="0.25">
      <c r="A1" s="14" t="s">
        <v>91</v>
      </c>
      <c r="B1" s="14" t="s">
        <v>65</v>
      </c>
      <c r="C1" s="14" t="s">
        <v>92</v>
      </c>
      <c r="D1" s="14" t="s">
        <v>93</v>
      </c>
      <c r="E1" s="14" t="s">
        <v>94</v>
      </c>
    </row>
    <row r="2" spans="1:19" x14ac:dyDescent="0.25">
      <c r="A2" s="14" t="s">
        <v>66</v>
      </c>
      <c r="B2" s="14" t="s">
        <v>66</v>
      </c>
      <c r="C2" s="14" t="s">
        <v>66</v>
      </c>
      <c r="D2" s="14" t="s">
        <v>66</v>
      </c>
      <c r="E2" s="14" t="s">
        <v>95</v>
      </c>
    </row>
    <row r="3" spans="1:19" x14ac:dyDescent="0.25">
      <c r="A3" s="14">
        <v>0</v>
      </c>
      <c r="B3" s="14">
        <v>5</v>
      </c>
      <c r="C3" s="14">
        <v>10</v>
      </c>
      <c r="D3" s="14">
        <v>30</v>
      </c>
    </row>
    <row r="4" spans="1:19" x14ac:dyDescent="0.25">
      <c r="A4" s="19" t="s">
        <v>96</v>
      </c>
      <c r="B4" s="19" t="s">
        <v>97</v>
      </c>
      <c r="C4" s="19" t="s">
        <v>59</v>
      </c>
      <c r="D4" s="19" t="s">
        <v>98</v>
      </c>
      <c r="E4" s="19" t="s">
        <v>99</v>
      </c>
      <c r="F4" s="19" t="s">
        <v>100</v>
      </c>
      <c r="G4" s="19" t="s">
        <v>101</v>
      </c>
      <c r="H4" s="19" t="s">
        <v>102</v>
      </c>
      <c r="I4" s="19" t="s">
        <v>103</v>
      </c>
      <c r="J4" s="19" t="s">
        <v>104</v>
      </c>
      <c r="K4" s="19" t="s">
        <v>105</v>
      </c>
      <c r="L4" s="19" t="s">
        <v>106</v>
      </c>
    </row>
    <row r="5" spans="1:19" x14ac:dyDescent="0.25">
      <c r="A5" s="14" t="s">
        <v>92</v>
      </c>
      <c r="B5" s="14" t="s">
        <v>66</v>
      </c>
      <c r="C5" s="14" t="s">
        <v>60</v>
      </c>
      <c r="D5" s="14">
        <v>0</v>
      </c>
      <c r="E5" s="14">
        <v>2</v>
      </c>
      <c r="F5" s="14" t="s">
        <v>91</v>
      </c>
      <c r="G5" s="14">
        <v>0</v>
      </c>
      <c r="H5" s="14">
        <v>1</v>
      </c>
      <c r="I5" s="14">
        <v>4.1324239889589803E-3</v>
      </c>
      <c r="J5" s="14">
        <v>4.1324239889589803E-3</v>
      </c>
      <c r="K5" s="14">
        <v>4.1324239889589803E-3</v>
      </c>
      <c r="L5" s="14">
        <v>0</v>
      </c>
      <c r="Q5" s="14" t="s">
        <v>187</v>
      </c>
      <c r="R5" s="14" t="s">
        <v>92</v>
      </c>
      <c r="S5" s="14" t="s">
        <v>66</v>
      </c>
    </row>
    <row r="6" spans="1:19" x14ac:dyDescent="0.25">
      <c r="A6" s="14" t="s">
        <v>92</v>
      </c>
      <c r="B6" s="14" t="s">
        <v>66</v>
      </c>
      <c r="C6" s="14" t="s">
        <v>60</v>
      </c>
      <c r="D6" s="14">
        <v>0</v>
      </c>
      <c r="E6" s="14">
        <v>2</v>
      </c>
      <c r="F6" s="14" t="s">
        <v>91</v>
      </c>
      <c r="G6" s="14">
        <v>1</v>
      </c>
      <c r="H6" s="14">
        <v>-1</v>
      </c>
      <c r="I6" s="14">
        <v>4.1324239889589803E-3</v>
      </c>
      <c r="J6" s="14">
        <v>4.1324239889589803E-3</v>
      </c>
      <c r="K6" s="14">
        <v>4.1324239889589803E-3</v>
      </c>
      <c r="L6" s="14">
        <v>0</v>
      </c>
      <c r="Q6" s="14" t="s">
        <v>188</v>
      </c>
    </row>
    <row r="7" spans="1:19" x14ac:dyDescent="0.25">
      <c r="A7" s="14" t="s">
        <v>92</v>
      </c>
      <c r="B7" s="14" t="s">
        <v>66</v>
      </c>
      <c r="C7" s="14" t="s">
        <v>60</v>
      </c>
      <c r="D7" s="14">
        <v>0</v>
      </c>
      <c r="E7" s="14">
        <v>2</v>
      </c>
      <c r="F7" s="14" t="s">
        <v>65</v>
      </c>
      <c r="G7" s="14">
        <v>0</v>
      </c>
      <c r="H7" s="14">
        <v>-1</v>
      </c>
      <c r="I7" s="14">
        <v>0.20815776033670699</v>
      </c>
      <c r="J7" s="14">
        <v>0.20815776033670699</v>
      </c>
      <c r="K7" s="14">
        <v>0.20815776033670699</v>
      </c>
      <c r="L7" s="14">
        <v>0</v>
      </c>
      <c r="Q7" s="14" t="s">
        <v>189</v>
      </c>
    </row>
    <row r="8" spans="1:19" x14ac:dyDescent="0.25">
      <c r="A8" s="14" t="s">
        <v>92</v>
      </c>
      <c r="B8" s="14" t="s">
        <v>66</v>
      </c>
      <c r="C8" s="14" t="s">
        <v>60</v>
      </c>
      <c r="D8" s="14">
        <v>0</v>
      </c>
      <c r="E8" s="14">
        <v>2</v>
      </c>
      <c r="F8" s="14" t="s">
        <v>65</v>
      </c>
      <c r="G8" s="14">
        <v>1</v>
      </c>
      <c r="H8" s="14">
        <v>1</v>
      </c>
      <c r="I8" s="14">
        <v>0.20712585121927299</v>
      </c>
      <c r="J8" s="14">
        <v>0.20712585121927299</v>
      </c>
      <c r="K8" s="14">
        <v>0.20712585121927299</v>
      </c>
      <c r="L8" s="14">
        <v>0</v>
      </c>
      <c r="Q8" s="14" t="s">
        <v>190</v>
      </c>
    </row>
    <row r="9" spans="1:19" x14ac:dyDescent="0.25">
      <c r="A9" s="14" t="s">
        <v>92</v>
      </c>
      <c r="B9" s="14" t="s">
        <v>66</v>
      </c>
      <c r="C9" s="14" t="s">
        <v>60</v>
      </c>
      <c r="D9" s="14">
        <v>0</v>
      </c>
      <c r="E9" s="14">
        <v>2</v>
      </c>
      <c r="F9" s="14" t="s">
        <v>92</v>
      </c>
      <c r="G9" s="14">
        <v>0</v>
      </c>
      <c r="H9" s="14">
        <v>1</v>
      </c>
      <c r="I9" s="14">
        <v>51.052180952684502</v>
      </c>
      <c r="J9" s="14">
        <v>51.052180952684502</v>
      </c>
      <c r="K9" s="14">
        <v>51.052180952684502</v>
      </c>
      <c r="L9" s="14">
        <v>0</v>
      </c>
      <c r="Q9" s="14" t="s">
        <v>191</v>
      </c>
    </row>
    <row r="10" spans="1:19" x14ac:dyDescent="0.25">
      <c r="A10" s="14" t="s">
        <v>92</v>
      </c>
      <c r="B10" s="14" t="s">
        <v>66</v>
      </c>
      <c r="C10" s="14" t="s">
        <v>60</v>
      </c>
      <c r="D10" s="14">
        <v>0</v>
      </c>
      <c r="E10" s="14">
        <v>2</v>
      </c>
      <c r="F10" s="14" t="s">
        <v>92</v>
      </c>
      <c r="G10" s="14">
        <v>1</v>
      </c>
      <c r="H10" s="14">
        <v>1</v>
      </c>
      <c r="I10" s="14">
        <v>0.20815776033671099</v>
      </c>
      <c r="J10" s="14">
        <v>0.20815776033671099</v>
      </c>
      <c r="K10" s="14">
        <v>0.20815776033671099</v>
      </c>
      <c r="L10" s="14">
        <v>0</v>
      </c>
      <c r="Q10" s="14" t="s">
        <v>192</v>
      </c>
    </row>
    <row r="11" spans="1:19" x14ac:dyDescent="0.25">
      <c r="A11" s="14" t="s">
        <v>92</v>
      </c>
      <c r="B11" s="14" t="s">
        <v>66</v>
      </c>
      <c r="C11" s="14" t="s">
        <v>60</v>
      </c>
      <c r="D11" s="14">
        <v>0</v>
      </c>
      <c r="E11" s="14">
        <v>2</v>
      </c>
      <c r="F11" s="14" t="s">
        <v>93</v>
      </c>
      <c r="G11" s="14">
        <v>0</v>
      </c>
      <c r="H11" s="14">
        <v>1</v>
      </c>
      <c r="I11" s="14">
        <v>1.3906009876482499E-3</v>
      </c>
      <c r="J11" s="14">
        <v>1.3906009876482499E-3</v>
      </c>
      <c r="K11" s="14">
        <v>1.3906009876482499E-3</v>
      </c>
      <c r="L11" s="14">
        <v>0</v>
      </c>
      <c r="Q11" s="14" t="s">
        <v>193</v>
      </c>
    </row>
    <row r="12" spans="1:19" x14ac:dyDescent="0.25">
      <c r="A12" s="14" t="s">
        <v>92</v>
      </c>
      <c r="B12" s="14" t="s">
        <v>66</v>
      </c>
      <c r="C12" s="14" t="s">
        <v>60</v>
      </c>
      <c r="D12" s="14">
        <v>0</v>
      </c>
      <c r="E12" s="14">
        <v>2</v>
      </c>
      <c r="F12" s="14" t="s">
        <v>93</v>
      </c>
      <c r="G12" s="14">
        <v>1</v>
      </c>
      <c r="H12" s="14">
        <v>-1</v>
      </c>
      <c r="I12" s="14">
        <v>1.3906009876482499E-3</v>
      </c>
      <c r="J12" s="14">
        <v>1.3906009876482499E-3</v>
      </c>
      <c r="K12" s="14">
        <v>1.3906009876482499E-3</v>
      </c>
      <c r="L12" s="14">
        <v>0</v>
      </c>
      <c r="Q12" s="14" t="s">
        <v>194</v>
      </c>
    </row>
    <row r="13" spans="1:19" x14ac:dyDescent="0.25">
      <c r="A13" s="14" t="s">
        <v>92</v>
      </c>
      <c r="B13" s="14" t="s">
        <v>66</v>
      </c>
      <c r="C13" s="14" t="s">
        <v>60</v>
      </c>
      <c r="D13" s="14">
        <v>0</v>
      </c>
      <c r="E13" s="14">
        <v>2</v>
      </c>
      <c r="F13" s="14" t="s">
        <v>94</v>
      </c>
      <c r="G13" s="14">
        <v>0</v>
      </c>
      <c r="H13" s="14">
        <v>-1</v>
      </c>
      <c r="I13" s="14">
        <v>0.20712585121927701</v>
      </c>
      <c r="J13" s="14">
        <v>0.20712585121927701</v>
      </c>
      <c r="K13" s="14">
        <v>0.20712585121927701</v>
      </c>
      <c r="L13" s="14">
        <v>0</v>
      </c>
      <c r="Q13" s="14" t="s">
        <v>195</v>
      </c>
    </row>
    <row r="14" spans="1:19" x14ac:dyDescent="0.25">
      <c r="A14" s="14" t="s">
        <v>92</v>
      </c>
      <c r="B14" s="14" t="s">
        <v>66</v>
      </c>
      <c r="C14" s="14" t="s">
        <v>60</v>
      </c>
      <c r="D14" s="14">
        <v>0</v>
      </c>
      <c r="E14" s="14">
        <v>2</v>
      </c>
      <c r="F14" s="14" t="s">
        <v>94</v>
      </c>
      <c r="G14" s="14">
        <v>1</v>
      </c>
      <c r="H14" s="14">
        <v>1</v>
      </c>
      <c r="I14" s="14">
        <v>0.39624075885427001</v>
      </c>
      <c r="J14" s="14">
        <v>0.39624075885427001</v>
      </c>
      <c r="K14" s="14">
        <v>0.39624075885426902</v>
      </c>
      <c r="L14" s="14">
        <v>0</v>
      </c>
      <c r="Q14" s="14" t="s">
        <v>196</v>
      </c>
    </row>
    <row r="15" spans="1:19" x14ac:dyDescent="0.25">
      <c r="A15" s="14" t="s">
        <v>92</v>
      </c>
      <c r="B15" s="14" t="s">
        <v>66</v>
      </c>
      <c r="C15" s="14" t="s">
        <v>60</v>
      </c>
      <c r="D15" s="14">
        <v>0</v>
      </c>
      <c r="E15" s="14">
        <v>50</v>
      </c>
      <c r="F15" s="14" t="s">
        <v>91</v>
      </c>
      <c r="G15" s="14">
        <v>0</v>
      </c>
      <c r="H15" s="14">
        <v>1</v>
      </c>
      <c r="I15" s="14">
        <v>4.9111345326293701E-2</v>
      </c>
      <c r="J15" s="14">
        <v>4.9111345326293701E-2</v>
      </c>
      <c r="K15" s="14">
        <v>4.9111345326293701E-2</v>
      </c>
      <c r="L15" s="14">
        <v>0</v>
      </c>
      <c r="Q15" s="14" t="s">
        <v>197</v>
      </c>
    </row>
    <row r="16" spans="1:19" x14ac:dyDescent="0.25">
      <c r="A16" s="14" t="s">
        <v>92</v>
      </c>
      <c r="B16" s="14" t="s">
        <v>66</v>
      </c>
      <c r="C16" s="14" t="s">
        <v>60</v>
      </c>
      <c r="D16" s="14">
        <v>0</v>
      </c>
      <c r="E16" s="14">
        <v>50</v>
      </c>
      <c r="F16" s="14" t="s">
        <v>91</v>
      </c>
      <c r="G16" s="14">
        <v>1</v>
      </c>
      <c r="H16" s="14">
        <v>-1</v>
      </c>
      <c r="I16" s="14">
        <v>4.9111345326293701E-2</v>
      </c>
      <c r="J16" s="14">
        <v>4.9111345326293701E-2</v>
      </c>
      <c r="K16" s="14">
        <v>4.9111345326293701E-2</v>
      </c>
      <c r="L16" s="14">
        <v>0</v>
      </c>
      <c r="Q16" s="14" t="s">
        <v>198</v>
      </c>
    </row>
    <row r="17" spans="1:17" x14ac:dyDescent="0.25">
      <c r="A17" s="14" t="s">
        <v>92</v>
      </c>
      <c r="B17" s="14" t="s">
        <v>66</v>
      </c>
      <c r="C17" s="14" t="s">
        <v>60</v>
      </c>
      <c r="D17" s="14">
        <v>0</v>
      </c>
      <c r="E17" s="14">
        <v>50</v>
      </c>
      <c r="F17" s="14" t="s">
        <v>65</v>
      </c>
      <c r="G17" s="14">
        <v>0</v>
      </c>
      <c r="H17" s="14">
        <v>-1</v>
      </c>
      <c r="I17" s="14">
        <v>0.20887710042216001</v>
      </c>
      <c r="J17" s="14">
        <v>0.20887710042216001</v>
      </c>
      <c r="K17" s="14">
        <v>0.20887710042216001</v>
      </c>
      <c r="L17" s="14">
        <v>0</v>
      </c>
      <c r="Q17" s="14" t="s">
        <v>199</v>
      </c>
    </row>
    <row r="18" spans="1:17" x14ac:dyDescent="0.25">
      <c r="A18" s="14" t="s">
        <v>92</v>
      </c>
      <c r="B18" s="14" t="s">
        <v>66</v>
      </c>
      <c r="C18" s="14" t="s">
        <v>60</v>
      </c>
      <c r="D18" s="14">
        <v>0</v>
      </c>
      <c r="E18" s="14">
        <v>50</v>
      </c>
      <c r="F18" s="14" t="s">
        <v>65</v>
      </c>
      <c r="G18" s="14">
        <v>1</v>
      </c>
      <c r="H18" s="14">
        <v>1</v>
      </c>
      <c r="I18" s="14">
        <v>0.20827186104443399</v>
      </c>
      <c r="J18" s="14">
        <v>0.20827186104443399</v>
      </c>
      <c r="K18" s="14">
        <v>0.20827186104443399</v>
      </c>
      <c r="L18" s="14">
        <v>0</v>
      </c>
      <c r="Q18" s="14" t="s">
        <v>200</v>
      </c>
    </row>
    <row r="19" spans="1:17" x14ac:dyDescent="0.25">
      <c r="A19" s="14" t="s">
        <v>92</v>
      </c>
      <c r="B19" s="14" t="s">
        <v>66</v>
      </c>
      <c r="C19" s="14" t="s">
        <v>60</v>
      </c>
      <c r="D19" s="14">
        <v>0</v>
      </c>
      <c r="E19" s="14">
        <v>50</v>
      </c>
      <c r="F19" s="14" t="s">
        <v>92</v>
      </c>
      <c r="G19" s="14">
        <v>0</v>
      </c>
      <c r="H19" s="14">
        <v>1</v>
      </c>
      <c r="I19" s="14">
        <v>24.268964608944099</v>
      </c>
      <c r="J19" s="14">
        <v>24.268964608944099</v>
      </c>
      <c r="K19" s="14">
        <v>24.268964608944099</v>
      </c>
      <c r="L19" s="14">
        <v>0</v>
      </c>
      <c r="Q19" s="14" t="s">
        <v>201</v>
      </c>
    </row>
    <row r="20" spans="1:17" x14ac:dyDescent="0.25">
      <c r="A20" s="14" t="s">
        <v>92</v>
      </c>
      <c r="B20" s="14" t="s">
        <v>66</v>
      </c>
      <c r="C20" s="14" t="s">
        <v>60</v>
      </c>
      <c r="D20" s="14">
        <v>0</v>
      </c>
      <c r="E20" s="14">
        <v>50</v>
      </c>
      <c r="F20" s="14" t="s">
        <v>92</v>
      </c>
      <c r="G20" s="14">
        <v>1</v>
      </c>
      <c r="H20" s="14">
        <v>1</v>
      </c>
      <c r="I20" s="14">
        <v>0.20887710042214699</v>
      </c>
      <c r="J20" s="14">
        <v>0.20887710042214699</v>
      </c>
      <c r="K20" s="14">
        <v>0.20887710042214699</v>
      </c>
      <c r="L20" s="14">
        <v>0</v>
      </c>
      <c r="Q20" s="14" t="s">
        <v>202</v>
      </c>
    </row>
    <row r="21" spans="1:17" x14ac:dyDescent="0.25">
      <c r="A21" s="14" t="s">
        <v>92</v>
      </c>
      <c r="B21" s="14" t="s">
        <v>66</v>
      </c>
      <c r="C21" s="14" t="s">
        <v>60</v>
      </c>
      <c r="D21" s="14">
        <v>0</v>
      </c>
      <c r="E21" s="14">
        <v>50</v>
      </c>
      <c r="F21" s="14" t="s">
        <v>93</v>
      </c>
      <c r="G21" s="14">
        <v>0</v>
      </c>
      <c r="H21" s="14">
        <v>1</v>
      </c>
      <c r="I21" s="14">
        <v>1.6526446825935601E-2</v>
      </c>
      <c r="J21" s="14">
        <v>1.6526446825935601E-2</v>
      </c>
      <c r="K21" s="14">
        <v>1.6526446825935601E-2</v>
      </c>
      <c r="L21" s="14">
        <v>0</v>
      </c>
      <c r="Q21" s="14" t="s">
        <v>203</v>
      </c>
    </row>
    <row r="22" spans="1:17" x14ac:dyDescent="0.25">
      <c r="A22" s="14" t="s">
        <v>92</v>
      </c>
      <c r="B22" s="14" t="s">
        <v>66</v>
      </c>
      <c r="C22" s="14" t="s">
        <v>60</v>
      </c>
      <c r="D22" s="14">
        <v>0</v>
      </c>
      <c r="E22" s="14">
        <v>50</v>
      </c>
      <c r="F22" s="14" t="s">
        <v>93</v>
      </c>
      <c r="G22" s="14">
        <v>1</v>
      </c>
      <c r="H22" s="14">
        <v>-1</v>
      </c>
      <c r="I22" s="14">
        <v>1.6526446825935601E-2</v>
      </c>
      <c r="J22" s="14">
        <v>1.6526446825935601E-2</v>
      </c>
      <c r="K22" s="14">
        <v>1.6526446825935601E-2</v>
      </c>
      <c r="L22" s="14">
        <v>0</v>
      </c>
      <c r="Q22" s="14" t="s">
        <v>204</v>
      </c>
    </row>
    <row r="23" spans="1:17" x14ac:dyDescent="0.25">
      <c r="A23" s="14" t="s">
        <v>92</v>
      </c>
      <c r="B23" s="14" t="s">
        <v>66</v>
      </c>
      <c r="C23" s="14" t="s">
        <v>60</v>
      </c>
      <c r="D23" s="14">
        <v>0</v>
      </c>
      <c r="E23" s="14">
        <v>50</v>
      </c>
      <c r="F23" s="14" t="s">
        <v>94</v>
      </c>
      <c r="G23" s="14">
        <v>0</v>
      </c>
      <c r="H23" s="14">
        <v>-1</v>
      </c>
      <c r="I23" s="14">
        <v>0.20827186104442599</v>
      </c>
      <c r="J23" s="14">
        <v>0.20827186104442599</v>
      </c>
      <c r="K23" s="14">
        <v>0.20827186104442599</v>
      </c>
      <c r="L23" s="14">
        <v>0</v>
      </c>
      <c r="Q23" s="14" t="s">
        <v>205</v>
      </c>
    </row>
    <row r="24" spans="1:17" x14ac:dyDescent="0.25">
      <c r="A24" s="14" t="s">
        <v>92</v>
      </c>
      <c r="B24" s="14" t="s">
        <v>66</v>
      </c>
      <c r="C24" s="14" t="s">
        <v>60</v>
      </c>
      <c r="D24" s="14">
        <v>0</v>
      </c>
      <c r="E24" s="14">
        <v>50</v>
      </c>
      <c r="F24" s="14" t="s">
        <v>94</v>
      </c>
      <c r="G24" s="14">
        <v>1</v>
      </c>
      <c r="H24" s="14">
        <v>1</v>
      </c>
      <c r="I24" s="14">
        <v>0.398433125476294</v>
      </c>
      <c r="J24" s="14">
        <v>0.398433125476294</v>
      </c>
      <c r="K24" s="14">
        <v>0.398433125476294</v>
      </c>
      <c r="L24" s="14">
        <v>0</v>
      </c>
      <c r="Q24" s="14" t="s">
        <v>206</v>
      </c>
    </row>
    <row r="25" spans="1:17" x14ac:dyDescent="0.25">
      <c r="A25" s="14" t="s">
        <v>92</v>
      </c>
      <c r="B25" s="14" t="s">
        <v>66</v>
      </c>
      <c r="C25" s="14" t="s">
        <v>60</v>
      </c>
      <c r="D25" s="14">
        <v>0</v>
      </c>
      <c r="E25" s="14">
        <v>98</v>
      </c>
      <c r="F25" s="14" t="s">
        <v>91</v>
      </c>
      <c r="G25" s="14">
        <v>0</v>
      </c>
      <c r="H25" s="14">
        <v>1</v>
      </c>
      <c r="I25" s="14">
        <v>6.3025819832349797E-2</v>
      </c>
      <c r="J25" s="14">
        <v>6.3025819832349797E-2</v>
      </c>
      <c r="K25" s="14">
        <v>6.3025819832349797E-2</v>
      </c>
      <c r="L25" s="14">
        <v>0</v>
      </c>
      <c r="Q25" s="14" t="s">
        <v>207</v>
      </c>
    </row>
    <row r="26" spans="1:17" x14ac:dyDescent="0.25">
      <c r="A26" s="14" t="s">
        <v>92</v>
      </c>
      <c r="B26" s="14" t="s">
        <v>66</v>
      </c>
      <c r="C26" s="14" t="s">
        <v>60</v>
      </c>
      <c r="D26" s="14">
        <v>0</v>
      </c>
      <c r="E26" s="14">
        <v>98</v>
      </c>
      <c r="F26" s="14" t="s">
        <v>91</v>
      </c>
      <c r="G26" s="14">
        <v>1</v>
      </c>
      <c r="H26" s="14">
        <v>-1</v>
      </c>
      <c r="I26" s="14">
        <v>6.3025819832349797E-2</v>
      </c>
      <c r="J26" s="14">
        <v>6.3025819832349797E-2</v>
      </c>
      <c r="K26" s="14">
        <v>6.3025819832349797E-2</v>
      </c>
      <c r="L26" s="14">
        <v>0</v>
      </c>
      <c r="Q26" s="14" t="s">
        <v>208</v>
      </c>
    </row>
    <row r="27" spans="1:17" x14ac:dyDescent="0.25">
      <c r="A27" s="14" t="s">
        <v>92</v>
      </c>
      <c r="B27" s="14" t="s">
        <v>66</v>
      </c>
      <c r="C27" s="14" t="s">
        <v>60</v>
      </c>
      <c r="D27" s="14">
        <v>0</v>
      </c>
      <c r="E27" s="14">
        <v>98</v>
      </c>
      <c r="F27" s="14" t="s">
        <v>65</v>
      </c>
      <c r="G27" s="14">
        <v>0</v>
      </c>
      <c r="H27" s="14">
        <v>-1</v>
      </c>
      <c r="I27" s="14">
        <v>0.20960142572909399</v>
      </c>
      <c r="J27" s="14">
        <v>0.20960142572909399</v>
      </c>
      <c r="K27" s="14">
        <v>0.20960142572909399</v>
      </c>
      <c r="L27" s="14">
        <v>0</v>
      </c>
      <c r="Q27" s="14" t="s">
        <v>209</v>
      </c>
    </row>
    <row r="28" spans="1:17" x14ac:dyDescent="0.25">
      <c r="A28" s="14" t="s">
        <v>92</v>
      </c>
      <c r="B28" s="14" t="s">
        <v>66</v>
      </c>
      <c r="C28" s="14" t="s">
        <v>60</v>
      </c>
      <c r="D28" s="14">
        <v>0</v>
      </c>
      <c r="E28" s="14">
        <v>98</v>
      </c>
      <c r="F28" s="14" t="s">
        <v>65</v>
      </c>
      <c r="G28" s="14">
        <v>1</v>
      </c>
      <c r="H28" s="14">
        <v>1</v>
      </c>
      <c r="I28" s="14">
        <v>0.20942591491821599</v>
      </c>
      <c r="J28" s="14">
        <v>0.20942591491821599</v>
      </c>
      <c r="K28" s="14">
        <v>0.20942591491821599</v>
      </c>
      <c r="L28" s="14">
        <v>0</v>
      </c>
      <c r="Q28" s="14" t="s">
        <v>210</v>
      </c>
    </row>
    <row r="29" spans="1:17" x14ac:dyDescent="0.25">
      <c r="A29" s="14" t="s">
        <v>92</v>
      </c>
      <c r="B29" s="14" t="s">
        <v>66</v>
      </c>
      <c r="C29" s="14" t="s">
        <v>60</v>
      </c>
      <c r="D29" s="14">
        <v>0</v>
      </c>
      <c r="E29" s="14">
        <v>98</v>
      </c>
      <c r="F29" s="14" t="s">
        <v>92</v>
      </c>
      <c r="G29" s="14">
        <v>0</v>
      </c>
      <c r="H29" s="14">
        <v>1</v>
      </c>
      <c r="I29" s="14">
        <v>15.890290962953101</v>
      </c>
      <c r="J29" s="14">
        <v>15.890290962953101</v>
      </c>
      <c r="K29" s="14">
        <v>15.890290962953101</v>
      </c>
      <c r="L29" s="14">
        <v>0</v>
      </c>
      <c r="Q29" s="14" t="s">
        <v>211</v>
      </c>
    </row>
    <row r="30" spans="1:17" x14ac:dyDescent="0.25">
      <c r="A30" s="14" t="s">
        <v>92</v>
      </c>
      <c r="B30" s="14" t="s">
        <v>66</v>
      </c>
      <c r="C30" s="14" t="s">
        <v>60</v>
      </c>
      <c r="D30" s="14">
        <v>0</v>
      </c>
      <c r="E30" s="14">
        <v>98</v>
      </c>
      <c r="F30" s="14" t="s">
        <v>92</v>
      </c>
      <c r="G30" s="14">
        <v>1</v>
      </c>
      <c r="H30" s="14">
        <v>1</v>
      </c>
      <c r="I30" s="14">
        <v>0.20960142572910601</v>
      </c>
      <c r="J30" s="14">
        <v>0.20960142572910601</v>
      </c>
      <c r="K30" s="14">
        <v>0.20960142572910601</v>
      </c>
      <c r="L30" s="14">
        <v>0</v>
      </c>
      <c r="Q30" s="14" t="s">
        <v>212</v>
      </c>
    </row>
    <row r="31" spans="1:17" x14ac:dyDescent="0.25">
      <c r="A31" s="14" t="s">
        <v>92</v>
      </c>
      <c r="B31" s="14" t="s">
        <v>66</v>
      </c>
      <c r="C31" s="14" t="s">
        <v>60</v>
      </c>
      <c r="D31" s="14">
        <v>0</v>
      </c>
      <c r="E31" s="14">
        <v>98</v>
      </c>
      <c r="F31" s="14" t="s">
        <v>93</v>
      </c>
      <c r="G31" s="14">
        <v>0</v>
      </c>
      <c r="H31" s="14">
        <v>1</v>
      </c>
      <c r="I31" s="14">
        <v>2.1208803244954898E-2</v>
      </c>
      <c r="J31" s="14">
        <v>2.1208803244954898E-2</v>
      </c>
      <c r="K31" s="14">
        <v>2.1208803244954898E-2</v>
      </c>
      <c r="L31" s="14">
        <v>0</v>
      </c>
      <c r="Q31" s="14" t="s">
        <v>213</v>
      </c>
    </row>
    <row r="32" spans="1:17" x14ac:dyDescent="0.25">
      <c r="A32" s="14" t="s">
        <v>92</v>
      </c>
      <c r="B32" s="14" t="s">
        <v>66</v>
      </c>
      <c r="C32" s="14" t="s">
        <v>60</v>
      </c>
      <c r="D32" s="14">
        <v>0</v>
      </c>
      <c r="E32" s="14">
        <v>98</v>
      </c>
      <c r="F32" s="14" t="s">
        <v>93</v>
      </c>
      <c r="G32" s="14">
        <v>1</v>
      </c>
      <c r="H32" s="14">
        <v>-1</v>
      </c>
      <c r="I32" s="14">
        <v>2.1208803244954898E-2</v>
      </c>
      <c r="J32" s="14">
        <v>2.1208803244954898E-2</v>
      </c>
      <c r="K32" s="14">
        <v>2.1208803244954898E-2</v>
      </c>
      <c r="L32" s="14">
        <v>0</v>
      </c>
      <c r="Q32" s="14" t="s">
        <v>214</v>
      </c>
    </row>
    <row r="33" spans="1:17" x14ac:dyDescent="0.25">
      <c r="A33" s="14" t="s">
        <v>92</v>
      </c>
      <c r="B33" s="14" t="s">
        <v>66</v>
      </c>
      <c r="C33" s="14" t="s">
        <v>60</v>
      </c>
      <c r="D33" s="14">
        <v>0</v>
      </c>
      <c r="E33" s="14">
        <v>98</v>
      </c>
      <c r="F33" s="14" t="s">
        <v>94</v>
      </c>
      <c r="G33" s="14">
        <v>0</v>
      </c>
      <c r="H33" s="14">
        <v>-1</v>
      </c>
      <c r="I33" s="14">
        <v>0.20942591491819901</v>
      </c>
      <c r="J33" s="14">
        <v>0.20942591491819901</v>
      </c>
      <c r="K33" s="14">
        <v>0.20942591491819901</v>
      </c>
      <c r="L33" s="14">
        <v>0</v>
      </c>
      <c r="Q33" s="14" t="s">
        <v>215</v>
      </c>
    </row>
    <row r="34" spans="1:17" x14ac:dyDescent="0.25">
      <c r="A34" s="14" t="s">
        <v>92</v>
      </c>
      <c r="B34" s="14" t="s">
        <v>66</v>
      </c>
      <c r="C34" s="14" t="s">
        <v>60</v>
      </c>
      <c r="D34" s="14">
        <v>0</v>
      </c>
      <c r="E34" s="14">
        <v>98</v>
      </c>
      <c r="F34" s="14" t="s">
        <v>94</v>
      </c>
      <c r="G34" s="14">
        <v>1</v>
      </c>
      <c r="H34" s="14">
        <v>1</v>
      </c>
      <c r="I34" s="14">
        <v>0.40064088071307602</v>
      </c>
      <c r="J34" s="14">
        <v>0.40064088071307602</v>
      </c>
      <c r="K34" s="14">
        <v>0.40064088071307602</v>
      </c>
      <c r="L34" s="14">
        <v>0</v>
      </c>
      <c r="Q34" s="14" t="s">
        <v>216</v>
      </c>
    </row>
    <row r="35" spans="1:17" x14ac:dyDescent="0.25">
      <c r="A35" s="14" t="s">
        <v>92</v>
      </c>
      <c r="B35" s="14" t="s">
        <v>66</v>
      </c>
      <c r="C35" s="14" t="s">
        <v>60</v>
      </c>
      <c r="D35" s="14">
        <v>5</v>
      </c>
      <c r="E35" s="14">
        <v>2</v>
      </c>
      <c r="F35" s="14" t="s">
        <v>91</v>
      </c>
      <c r="G35" s="14">
        <v>0</v>
      </c>
      <c r="H35" s="14">
        <v>1</v>
      </c>
      <c r="I35" s="14">
        <v>7.4626499656407094E-2</v>
      </c>
      <c r="J35" s="14">
        <v>7.4626499656407094E-2</v>
      </c>
      <c r="K35" s="14">
        <v>7.4626499656407094E-2</v>
      </c>
      <c r="L35" s="14">
        <v>0</v>
      </c>
      <c r="Q35" s="14" t="s">
        <v>217</v>
      </c>
    </row>
    <row r="36" spans="1:17" x14ac:dyDescent="0.25">
      <c r="A36" s="14" t="s">
        <v>92</v>
      </c>
      <c r="B36" s="14" t="s">
        <v>66</v>
      </c>
      <c r="C36" s="14" t="s">
        <v>60</v>
      </c>
      <c r="D36" s="14">
        <v>5</v>
      </c>
      <c r="E36" s="14">
        <v>2</v>
      </c>
      <c r="F36" s="14" t="s">
        <v>91</v>
      </c>
      <c r="G36" s="14">
        <v>1</v>
      </c>
      <c r="H36" s="14">
        <v>-1</v>
      </c>
      <c r="I36" s="14">
        <v>7.4626499656407094E-2</v>
      </c>
      <c r="J36" s="14">
        <v>7.4626499656407094E-2</v>
      </c>
      <c r="K36" s="14">
        <v>7.4626499656407094E-2</v>
      </c>
      <c r="L36" s="14">
        <v>0</v>
      </c>
      <c r="Q36" s="14" t="s">
        <v>218</v>
      </c>
    </row>
    <row r="37" spans="1:17" x14ac:dyDescent="0.25">
      <c r="A37" s="14" t="s">
        <v>92</v>
      </c>
      <c r="B37" s="14" t="s">
        <v>66</v>
      </c>
      <c r="C37" s="14" t="s">
        <v>60</v>
      </c>
      <c r="D37" s="14">
        <v>5</v>
      </c>
      <c r="E37" s="14">
        <v>2</v>
      </c>
      <c r="F37" s="14" t="s">
        <v>65</v>
      </c>
      <c r="G37" s="14">
        <v>0</v>
      </c>
      <c r="H37" s="14">
        <v>-1</v>
      </c>
      <c r="I37" s="14">
        <v>9.4684986038884103E-2</v>
      </c>
      <c r="J37" s="14">
        <v>9.4684986038884103E-2</v>
      </c>
      <c r="K37" s="14">
        <v>9.4684986038884103E-2</v>
      </c>
      <c r="L37" s="14">
        <v>0</v>
      </c>
      <c r="Q37" s="14" t="s">
        <v>219</v>
      </c>
    </row>
    <row r="38" spans="1:17" x14ac:dyDescent="0.25">
      <c r="A38" s="14" t="s">
        <v>92</v>
      </c>
      <c r="B38" s="14" t="s">
        <v>66</v>
      </c>
      <c r="C38" s="14" t="s">
        <v>60</v>
      </c>
      <c r="D38" s="14">
        <v>5</v>
      </c>
      <c r="E38" s="14">
        <v>2</v>
      </c>
      <c r="F38" s="14" t="s">
        <v>65</v>
      </c>
      <c r="G38" s="14">
        <v>1</v>
      </c>
      <c r="H38" s="14">
        <v>1</v>
      </c>
      <c r="I38" s="14">
        <v>9.2733950218500394E-2</v>
      </c>
      <c r="J38" s="14">
        <v>9.2733950218500394E-2</v>
      </c>
      <c r="K38" s="14">
        <v>9.2733950218500394E-2</v>
      </c>
      <c r="L38" s="14">
        <v>0</v>
      </c>
      <c r="Q38" s="14" t="s">
        <v>220</v>
      </c>
    </row>
    <row r="39" spans="1:17" x14ac:dyDescent="0.25">
      <c r="A39" s="14" t="s">
        <v>92</v>
      </c>
      <c r="B39" s="14" t="s">
        <v>66</v>
      </c>
      <c r="C39" s="14" t="s">
        <v>60</v>
      </c>
      <c r="D39" s="14">
        <v>5</v>
      </c>
      <c r="E39" s="14">
        <v>2</v>
      </c>
      <c r="F39" s="14" t="s">
        <v>92</v>
      </c>
      <c r="G39" s="14">
        <v>0</v>
      </c>
      <c r="H39" s="14">
        <v>1</v>
      </c>
      <c r="I39" s="14">
        <v>23.0493968264865</v>
      </c>
      <c r="J39" s="14">
        <v>23.0493968264865</v>
      </c>
      <c r="K39" s="14">
        <v>23.0493968264865</v>
      </c>
      <c r="L39" s="14">
        <v>0</v>
      </c>
      <c r="Q39" s="14" t="s">
        <v>221</v>
      </c>
    </row>
    <row r="40" spans="1:17" x14ac:dyDescent="0.25">
      <c r="A40" s="14" t="s">
        <v>92</v>
      </c>
      <c r="B40" s="14" t="s">
        <v>66</v>
      </c>
      <c r="C40" s="14" t="s">
        <v>60</v>
      </c>
      <c r="D40" s="14">
        <v>5</v>
      </c>
      <c r="E40" s="14">
        <v>2</v>
      </c>
      <c r="F40" s="14" t="s">
        <v>92</v>
      </c>
      <c r="G40" s="14">
        <v>1</v>
      </c>
      <c r="H40" s="14">
        <v>1</v>
      </c>
      <c r="I40" s="14">
        <v>9.4684986038893401E-2</v>
      </c>
      <c r="J40" s="14">
        <v>9.4684986038893401E-2</v>
      </c>
      <c r="K40" s="14">
        <v>9.4684986038893401E-2</v>
      </c>
      <c r="L40" s="14">
        <v>0</v>
      </c>
      <c r="Q40" s="14" t="s">
        <v>222</v>
      </c>
    </row>
    <row r="41" spans="1:17" x14ac:dyDescent="0.25">
      <c r="A41" s="14" t="s">
        <v>92</v>
      </c>
      <c r="B41" s="14" t="s">
        <v>66</v>
      </c>
      <c r="C41" s="14" t="s">
        <v>60</v>
      </c>
      <c r="D41" s="14">
        <v>5</v>
      </c>
      <c r="E41" s="14">
        <v>2</v>
      </c>
      <c r="F41" s="14" t="s">
        <v>93</v>
      </c>
      <c r="G41" s="14">
        <v>0</v>
      </c>
      <c r="H41" s="14">
        <v>1</v>
      </c>
      <c r="I41" s="14">
        <v>2.51125451804096E-2</v>
      </c>
      <c r="J41" s="14">
        <v>2.51125451804096E-2</v>
      </c>
      <c r="K41" s="14">
        <v>2.51125451804096E-2</v>
      </c>
      <c r="L41" s="14">
        <v>0</v>
      </c>
      <c r="Q41" s="14" t="s">
        <v>223</v>
      </c>
    </row>
    <row r="42" spans="1:17" x14ac:dyDescent="0.25">
      <c r="A42" s="14" t="s">
        <v>92</v>
      </c>
      <c r="B42" s="14" t="s">
        <v>66</v>
      </c>
      <c r="C42" s="14" t="s">
        <v>60</v>
      </c>
      <c r="D42" s="14">
        <v>5</v>
      </c>
      <c r="E42" s="14">
        <v>2</v>
      </c>
      <c r="F42" s="14" t="s">
        <v>93</v>
      </c>
      <c r="G42" s="14">
        <v>1</v>
      </c>
      <c r="H42" s="14">
        <v>-1</v>
      </c>
      <c r="I42" s="14">
        <v>2.51125451804096E-2</v>
      </c>
      <c r="J42" s="14">
        <v>2.51125451804096E-2</v>
      </c>
      <c r="K42" s="14">
        <v>2.51125451804096E-2</v>
      </c>
      <c r="L42" s="14">
        <v>0</v>
      </c>
      <c r="Q42" s="14" t="s">
        <v>224</v>
      </c>
    </row>
    <row r="43" spans="1:17" x14ac:dyDescent="0.25">
      <c r="A43" s="14" t="s">
        <v>92</v>
      </c>
      <c r="B43" s="14" t="s">
        <v>66</v>
      </c>
      <c r="C43" s="14" t="s">
        <v>60</v>
      </c>
      <c r="D43" s="14">
        <v>5</v>
      </c>
      <c r="E43" s="14">
        <v>2</v>
      </c>
      <c r="F43" s="14" t="s">
        <v>94</v>
      </c>
      <c r="G43" s="14">
        <v>0</v>
      </c>
      <c r="H43" s="14">
        <v>-1</v>
      </c>
      <c r="I43" s="14">
        <v>9.2733950218506306E-2</v>
      </c>
      <c r="J43" s="14">
        <v>9.2733950218506306E-2</v>
      </c>
      <c r="K43" s="14">
        <v>9.2733950218506306E-2</v>
      </c>
      <c r="L43" s="14">
        <v>0</v>
      </c>
      <c r="Q43" s="14" t="s">
        <v>225</v>
      </c>
    </row>
    <row r="44" spans="1:17" x14ac:dyDescent="0.25">
      <c r="A44" s="14" t="s">
        <v>92</v>
      </c>
      <c r="B44" s="14" t="s">
        <v>66</v>
      </c>
      <c r="C44" s="14" t="s">
        <v>60</v>
      </c>
      <c r="D44" s="14">
        <v>5</v>
      </c>
      <c r="E44" s="14">
        <v>2</v>
      </c>
      <c r="F44" s="14" t="s">
        <v>94</v>
      </c>
      <c r="G44" s="14">
        <v>1</v>
      </c>
      <c r="H44" s="14">
        <v>1</v>
      </c>
      <c r="I44" s="14">
        <v>0.177404078678881</v>
      </c>
      <c r="J44" s="14">
        <v>0.177404078678881</v>
      </c>
      <c r="K44" s="14">
        <v>0.177404078678881</v>
      </c>
      <c r="L44" s="14">
        <v>0</v>
      </c>
      <c r="Q44" s="14" t="s">
        <v>226</v>
      </c>
    </row>
    <row r="45" spans="1:17" x14ac:dyDescent="0.25">
      <c r="A45" s="14" t="s">
        <v>92</v>
      </c>
      <c r="B45" s="14" t="s">
        <v>66</v>
      </c>
      <c r="C45" s="14" t="s">
        <v>60</v>
      </c>
      <c r="D45" s="14">
        <v>5</v>
      </c>
      <c r="E45" s="14">
        <v>50</v>
      </c>
      <c r="F45" s="14" t="s">
        <v>91</v>
      </c>
      <c r="G45" s="14">
        <v>0</v>
      </c>
      <c r="H45" s="14">
        <v>1</v>
      </c>
      <c r="I45" s="14">
        <v>7.0875243385379094E-2</v>
      </c>
      <c r="J45" s="14">
        <v>7.0875243385379094E-2</v>
      </c>
      <c r="K45" s="14">
        <v>7.0875243385379094E-2</v>
      </c>
      <c r="L45" s="14">
        <v>0</v>
      </c>
      <c r="Q45" s="14" t="s">
        <v>227</v>
      </c>
    </row>
    <row r="46" spans="1:17" x14ac:dyDescent="0.25">
      <c r="A46" s="14" t="s">
        <v>92</v>
      </c>
      <c r="B46" s="14" t="s">
        <v>66</v>
      </c>
      <c r="C46" s="14" t="s">
        <v>60</v>
      </c>
      <c r="D46" s="14">
        <v>5</v>
      </c>
      <c r="E46" s="14">
        <v>50</v>
      </c>
      <c r="F46" s="14" t="s">
        <v>91</v>
      </c>
      <c r="G46" s="14">
        <v>1</v>
      </c>
      <c r="H46" s="14">
        <v>-1</v>
      </c>
      <c r="I46" s="14">
        <v>7.0875243385379094E-2</v>
      </c>
      <c r="J46" s="14">
        <v>7.0875243385379094E-2</v>
      </c>
      <c r="K46" s="14">
        <v>7.0875243385379094E-2</v>
      </c>
      <c r="L46" s="14">
        <v>0</v>
      </c>
      <c r="Q46" s="14" t="s">
        <v>228</v>
      </c>
    </row>
    <row r="47" spans="1:17" x14ac:dyDescent="0.25">
      <c r="A47" s="14" t="s">
        <v>92</v>
      </c>
      <c r="B47" s="14" t="s">
        <v>66</v>
      </c>
      <c r="C47" s="14" t="s">
        <v>60</v>
      </c>
      <c r="D47" s="14">
        <v>5</v>
      </c>
      <c r="E47" s="14">
        <v>50</v>
      </c>
      <c r="F47" s="14" t="s">
        <v>65</v>
      </c>
      <c r="G47" s="14">
        <v>0</v>
      </c>
      <c r="H47" s="14">
        <v>-1</v>
      </c>
      <c r="I47" s="14">
        <v>0.14076242840494599</v>
      </c>
      <c r="J47" s="14">
        <v>0.14076242840494599</v>
      </c>
      <c r="K47" s="14">
        <v>0.14076242840494599</v>
      </c>
      <c r="L47" s="14">
        <v>0</v>
      </c>
      <c r="Q47" s="14" t="s">
        <v>229</v>
      </c>
    </row>
    <row r="48" spans="1:17" x14ac:dyDescent="0.25">
      <c r="A48" s="14" t="s">
        <v>92</v>
      </c>
      <c r="B48" s="14" t="s">
        <v>66</v>
      </c>
      <c r="C48" s="14" t="s">
        <v>60</v>
      </c>
      <c r="D48" s="14">
        <v>5</v>
      </c>
      <c r="E48" s="14">
        <v>50</v>
      </c>
      <c r="F48" s="14" t="s">
        <v>65</v>
      </c>
      <c r="G48" s="14">
        <v>1</v>
      </c>
      <c r="H48" s="14">
        <v>1</v>
      </c>
      <c r="I48" s="14">
        <v>0.13457698021069101</v>
      </c>
      <c r="J48" s="14">
        <v>0.13457698021069101</v>
      </c>
      <c r="K48" s="14">
        <v>0.13457698021069101</v>
      </c>
      <c r="L48" s="14">
        <v>0</v>
      </c>
      <c r="Q48" s="14" t="s">
        <v>230</v>
      </c>
    </row>
    <row r="49" spans="1:17" x14ac:dyDescent="0.25">
      <c r="A49" s="14" t="s">
        <v>92</v>
      </c>
      <c r="B49" s="14" t="s">
        <v>66</v>
      </c>
      <c r="C49" s="14" t="s">
        <v>60</v>
      </c>
      <c r="D49" s="14">
        <v>5</v>
      </c>
      <c r="E49" s="14">
        <v>50</v>
      </c>
      <c r="F49" s="14" t="s">
        <v>92</v>
      </c>
      <c r="G49" s="14">
        <v>0</v>
      </c>
      <c r="H49" s="14">
        <v>1</v>
      </c>
      <c r="I49" s="14">
        <v>16.435562068958198</v>
      </c>
      <c r="J49" s="14">
        <v>16.435562068958198</v>
      </c>
      <c r="K49" s="14">
        <v>16.435562068958198</v>
      </c>
      <c r="L49" s="14">
        <v>0</v>
      </c>
      <c r="Q49" s="14" t="s">
        <v>231</v>
      </c>
    </row>
    <row r="50" spans="1:17" x14ac:dyDescent="0.25">
      <c r="A50" s="14" t="s">
        <v>92</v>
      </c>
      <c r="B50" s="14" t="s">
        <v>66</v>
      </c>
      <c r="C50" s="14" t="s">
        <v>60</v>
      </c>
      <c r="D50" s="14">
        <v>5</v>
      </c>
      <c r="E50" s="14">
        <v>50</v>
      </c>
      <c r="F50" s="14" t="s">
        <v>92</v>
      </c>
      <c r="G50" s="14">
        <v>1</v>
      </c>
      <c r="H50" s="14">
        <v>1</v>
      </c>
      <c r="I50" s="14">
        <v>0.140762428404937</v>
      </c>
      <c r="J50" s="14">
        <v>0.140762428404937</v>
      </c>
      <c r="K50" s="14">
        <v>0.140762428404937</v>
      </c>
      <c r="L50" s="14">
        <v>0</v>
      </c>
      <c r="Q50" s="14" t="s">
        <v>232</v>
      </c>
    </row>
    <row r="51" spans="1:17" x14ac:dyDescent="0.25">
      <c r="A51" s="14" t="s">
        <v>92</v>
      </c>
      <c r="B51" s="14" t="s">
        <v>66</v>
      </c>
      <c r="C51" s="14" t="s">
        <v>60</v>
      </c>
      <c r="D51" s="14">
        <v>5</v>
      </c>
      <c r="E51" s="14">
        <v>50</v>
      </c>
      <c r="F51" s="14" t="s">
        <v>93</v>
      </c>
      <c r="G51" s="14">
        <v>0</v>
      </c>
      <c r="H51" s="14">
        <v>1</v>
      </c>
      <c r="I51" s="14">
        <v>2.3850210848467598E-2</v>
      </c>
      <c r="J51" s="14">
        <v>2.3850210848467598E-2</v>
      </c>
      <c r="K51" s="14">
        <v>2.3850210848467598E-2</v>
      </c>
      <c r="L51" s="14">
        <v>0</v>
      </c>
      <c r="Q51" s="14" t="s">
        <v>233</v>
      </c>
    </row>
    <row r="52" spans="1:17" x14ac:dyDescent="0.25">
      <c r="A52" s="14" t="s">
        <v>92</v>
      </c>
      <c r="B52" s="14" t="s">
        <v>66</v>
      </c>
      <c r="C52" s="14" t="s">
        <v>60</v>
      </c>
      <c r="D52" s="14">
        <v>5</v>
      </c>
      <c r="E52" s="14">
        <v>50</v>
      </c>
      <c r="F52" s="14" t="s">
        <v>93</v>
      </c>
      <c r="G52" s="14">
        <v>1</v>
      </c>
      <c r="H52" s="14">
        <v>-1</v>
      </c>
      <c r="I52" s="14">
        <v>2.3850210848467598E-2</v>
      </c>
      <c r="J52" s="14">
        <v>2.3850210848467598E-2</v>
      </c>
      <c r="K52" s="14">
        <v>2.3850210848467598E-2</v>
      </c>
      <c r="L52" s="14">
        <v>0</v>
      </c>
      <c r="Q52" s="14" t="s">
        <v>234</v>
      </c>
    </row>
    <row r="53" spans="1:17" x14ac:dyDescent="0.25">
      <c r="A53" s="14" t="s">
        <v>92</v>
      </c>
      <c r="B53" s="14" t="s">
        <v>66</v>
      </c>
      <c r="C53" s="14" t="s">
        <v>60</v>
      </c>
      <c r="D53" s="14">
        <v>5</v>
      </c>
      <c r="E53" s="14">
        <v>50</v>
      </c>
      <c r="F53" s="14" t="s">
        <v>94</v>
      </c>
      <c r="G53" s="14">
        <v>0</v>
      </c>
      <c r="H53" s="14">
        <v>-1</v>
      </c>
      <c r="I53" s="14">
        <v>0.13457698021068401</v>
      </c>
      <c r="J53" s="14">
        <v>0.13457698021068401</v>
      </c>
      <c r="K53" s="14">
        <v>0.13457698021068401</v>
      </c>
      <c r="L53" s="14">
        <v>0</v>
      </c>
      <c r="Q53" s="14" t="s">
        <v>235</v>
      </c>
    </row>
    <row r="54" spans="1:17" x14ac:dyDescent="0.25">
      <c r="A54" s="14" t="s">
        <v>92</v>
      </c>
      <c r="B54" s="14" t="s">
        <v>66</v>
      </c>
      <c r="C54" s="14" t="s">
        <v>60</v>
      </c>
      <c r="D54" s="14">
        <v>5</v>
      </c>
      <c r="E54" s="14">
        <v>50</v>
      </c>
      <c r="F54" s="14" t="s">
        <v>94</v>
      </c>
      <c r="G54" s="14">
        <v>1</v>
      </c>
      <c r="H54" s="14">
        <v>1</v>
      </c>
      <c r="I54" s="14">
        <v>0.25745161431609098</v>
      </c>
      <c r="J54" s="14">
        <v>0.25745161431609098</v>
      </c>
      <c r="K54" s="14">
        <v>0.25745161431609098</v>
      </c>
      <c r="L54" s="14">
        <v>0</v>
      </c>
      <c r="Q54" s="14" t="s">
        <v>236</v>
      </c>
    </row>
    <row r="55" spans="1:17" x14ac:dyDescent="0.25">
      <c r="A55" s="14" t="s">
        <v>92</v>
      </c>
      <c r="B55" s="14" t="s">
        <v>66</v>
      </c>
      <c r="C55" s="14" t="s">
        <v>60</v>
      </c>
      <c r="D55" s="14">
        <v>5</v>
      </c>
      <c r="E55" s="14">
        <v>98</v>
      </c>
      <c r="F55" s="14" t="s">
        <v>91</v>
      </c>
      <c r="G55" s="14">
        <v>0</v>
      </c>
      <c r="H55" s="14">
        <v>1</v>
      </c>
      <c r="I55" s="14">
        <v>7.2772063195365902E-2</v>
      </c>
      <c r="J55" s="14">
        <v>7.2772063195365902E-2</v>
      </c>
      <c r="K55" s="14">
        <v>7.2772063195365902E-2</v>
      </c>
      <c r="L55" s="14">
        <v>0</v>
      </c>
      <c r="Q55" s="14" t="s">
        <v>237</v>
      </c>
    </row>
    <row r="56" spans="1:17" x14ac:dyDescent="0.25">
      <c r="A56" s="14" t="s">
        <v>92</v>
      </c>
      <c r="B56" s="14" t="s">
        <v>66</v>
      </c>
      <c r="C56" s="14" t="s">
        <v>60</v>
      </c>
      <c r="D56" s="14">
        <v>5</v>
      </c>
      <c r="E56" s="14">
        <v>98</v>
      </c>
      <c r="F56" s="14" t="s">
        <v>91</v>
      </c>
      <c r="G56" s="14">
        <v>1</v>
      </c>
      <c r="H56" s="14">
        <v>-1</v>
      </c>
      <c r="I56" s="14">
        <v>7.2772063195365902E-2</v>
      </c>
      <c r="J56" s="14">
        <v>7.2772063195365902E-2</v>
      </c>
      <c r="K56" s="14">
        <v>7.2772063195365902E-2</v>
      </c>
      <c r="L56" s="14">
        <v>0</v>
      </c>
      <c r="Q56" s="14" t="s">
        <v>238</v>
      </c>
    </row>
    <row r="57" spans="1:17" x14ac:dyDescent="0.25">
      <c r="A57" s="14" t="s">
        <v>92</v>
      </c>
      <c r="B57" s="14" t="s">
        <v>66</v>
      </c>
      <c r="C57" s="14" t="s">
        <v>60</v>
      </c>
      <c r="D57" s="14">
        <v>5</v>
      </c>
      <c r="E57" s="14">
        <v>98</v>
      </c>
      <c r="F57" s="14" t="s">
        <v>65</v>
      </c>
      <c r="G57" s="14">
        <v>0</v>
      </c>
      <c r="H57" s="14">
        <v>-1</v>
      </c>
      <c r="I57" s="14">
        <v>0.16313069452102599</v>
      </c>
      <c r="J57" s="14">
        <v>0.16313069452102599</v>
      </c>
      <c r="K57" s="14">
        <v>0.16313069452102599</v>
      </c>
      <c r="L57" s="14">
        <v>0</v>
      </c>
      <c r="Q57" s="14" t="s">
        <v>239</v>
      </c>
    </row>
    <row r="58" spans="1:17" x14ac:dyDescent="0.25">
      <c r="A58" s="14" t="s">
        <v>92</v>
      </c>
      <c r="B58" s="14" t="s">
        <v>66</v>
      </c>
      <c r="C58" s="14" t="s">
        <v>60</v>
      </c>
      <c r="D58" s="14">
        <v>5</v>
      </c>
      <c r="E58" s="14">
        <v>98</v>
      </c>
      <c r="F58" s="14" t="s">
        <v>65</v>
      </c>
      <c r="G58" s="14">
        <v>1</v>
      </c>
      <c r="H58" s="14">
        <v>1</v>
      </c>
      <c r="I58" s="14">
        <v>0.15752184943471401</v>
      </c>
      <c r="J58" s="14">
        <v>0.15752184943471401</v>
      </c>
      <c r="K58" s="14">
        <v>0.15752184943471401</v>
      </c>
      <c r="L58" s="14">
        <v>0</v>
      </c>
      <c r="Q58" s="14" t="s">
        <v>240</v>
      </c>
    </row>
    <row r="59" spans="1:17" x14ac:dyDescent="0.25">
      <c r="A59" s="14" t="s">
        <v>92</v>
      </c>
      <c r="B59" s="14" t="s">
        <v>66</v>
      </c>
      <c r="C59" s="14" t="s">
        <v>60</v>
      </c>
      <c r="D59" s="14">
        <v>5</v>
      </c>
      <c r="E59" s="14">
        <v>98</v>
      </c>
      <c r="F59" s="14" t="s">
        <v>92</v>
      </c>
      <c r="G59" s="14">
        <v>0</v>
      </c>
      <c r="H59" s="14">
        <v>1</v>
      </c>
      <c r="I59" s="14">
        <v>12.429960393161201</v>
      </c>
      <c r="J59" s="14">
        <v>12.429960393161201</v>
      </c>
      <c r="K59" s="14">
        <v>12.429960393161201</v>
      </c>
      <c r="L59" s="14">
        <v>0</v>
      </c>
      <c r="Q59" s="14" t="s">
        <v>241</v>
      </c>
    </row>
    <row r="60" spans="1:17" x14ac:dyDescent="0.25">
      <c r="A60" s="14" t="s">
        <v>92</v>
      </c>
      <c r="B60" s="14" t="s">
        <v>66</v>
      </c>
      <c r="C60" s="14" t="s">
        <v>60</v>
      </c>
      <c r="D60" s="14">
        <v>5</v>
      </c>
      <c r="E60" s="14">
        <v>98</v>
      </c>
      <c r="F60" s="14" t="s">
        <v>92</v>
      </c>
      <c r="G60" s="14">
        <v>1</v>
      </c>
      <c r="H60" s="14">
        <v>1</v>
      </c>
      <c r="I60" s="14">
        <v>0.163130694521187</v>
      </c>
      <c r="J60" s="14">
        <v>0.163130694521187</v>
      </c>
      <c r="K60" s="14">
        <v>0.163130694521187</v>
      </c>
      <c r="L60" s="14">
        <v>0</v>
      </c>
      <c r="Q60" s="14" t="s">
        <v>242</v>
      </c>
    </row>
    <row r="61" spans="1:17" x14ac:dyDescent="0.25">
      <c r="A61" s="14" t="s">
        <v>92</v>
      </c>
      <c r="B61" s="14" t="s">
        <v>66</v>
      </c>
      <c r="C61" s="14" t="s">
        <v>60</v>
      </c>
      <c r="D61" s="14">
        <v>5</v>
      </c>
      <c r="E61" s="14">
        <v>98</v>
      </c>
      <c r="F61" s="14" t="s">
        <v>93</v>
      </c>
      <c r="G61" s="14">
        <v>0</v>
      </c>
      <c r="H61" s="14">
        <v>1</v>
      </c>
      <c r="I61" s="14">
        <v>2.4488509219641401E-2</v>
      </c>
      <c r="J61" s="14">
        <v>2.4488509219641401E-2</v>
      </c>
      <c r="K61" s="14">
        <v>2.4488509219641401E-2</v>
      </c>
      <c r="L61" s="14">
        <v>0</v>
      </c>
      <c r="Q61" s="14" t="s">
        <v>243</v>
      </c>
    </row>
    <row r="62" spans="1:17" x14ac:dyDescent="0.25">
      <c r="A62" s="14" t="s">
        <v>92</v>
      </c>
      <c r="B62" s="14" t="s">
        <v>66</v>
      </c>
      <c r="C62" s="14" t="s">
        <v>60</v>
      </c>
      <c r="D62" s="14">
        <v>5</v>
      </c>
      <c r="E62" s="14">
        <v>98</v>
      </c>
      <c r="F62" s="14" t="s">
        <v>93</v>
      </c>
      <c r="G62" s="14">
        <v>1</v>
      </c>
      <c r="H62" s="14">
        <v>-1</v>
      </c>
      <c r="I62" s="14">
        <v>2.4488509219641401E-2</v>
      </c>
      <c r="J62" s="14">
        <v>2.4488509219641401E-2</v>
      </c>
      <c r="K62" s="14">
        <v>2.4488509219641401E-2</v>
      </c>
      <c r="L62" s="14">
        <v>0</v>
      </c>
      <c r="Q62" s="14" t="s">
        <v>244</v>
      </c>
    </row>
    <row r="63" spans="1:17" x14ac:dyDescent="0.25">
      <c r="A63" s="14" t="s">
        <v>92</v>
      </c>
      <c r="B63" s="14" t="s">
        <v>66</v>
      </c>
      <c r="C63" s="14" t="s">
        <v>60</v>
      </c>
      <c r="D63" s="14">
        <v>5</v>
      </c>
      <c r="E63" s="14">
        <v>98</v>
      </c>
      <c r="F63" s="14" t="s">
        <v>94</v>
      </c>
      <c r="G63" s="14">
        <v>0</v>
      </c>
      <c r="H63" s="14">
        <v>-1</v>
      </c>
      <c r="I63" s="14">
        <v>0.15752184943471401</v>
      </c>
      <c r="J63" s="14">
        <v>0.15752184943471401</v>
      </c>
      <c r="K63" s="14">
        <v>0.15752184943471401</v>
      </c>
      <c r="L63" s="14">
        <v>0</v>
      </c>
      <c r="Q63" s="14" t="s">
        <v>245</v>
      </c>
    </row>
    <row r="64" spans="1:17" x14ac:dyDescent="0.25">
      <c r="A64" s="14" t="s">
        <v>92</v>
      </c>
      <c r="B64" s="14" t="s">
        <v>66</v>
      </c>
      <c r="C64" s="14" t="s">
        <v>60</v>
      </c>
      <c r="D64" s="14">
        <v>5</v>
      </c>
      <c r="E64" s="14">
        <v>98</v>
      </c>
      <c r="F64" s="14" t="s">
        <v>94</v>
      </c>
      <c r="G64" s="14">
        <v>1</v>
      </c>
      <c r="H64" s="14">
        <v>1</v>
      </c>
      <c r="I64" s="14">
        <v>0.30134614674466997</v>
      </c>
      <c r="J64" s="14">
        <v>0.30134614674466997</v>
      </c>
      <c r="K64" s="14">
        <v>0.30134614674466997</v>
      </c>
      <c r="L64" s="14">
        <v>0</v>
      </c>
      <c r="Q64" s="14" t="s">
        <v>246</v>
      </c>
    </row>
    <row r="65" spans="1:17" x14ac:dyDescent="0.25">
      <c r="A65" s="14" t="s">
        <v>92</v>
      </c>
      <c r="B65" s="14" t="s">
        <v>66</v>
      </c>
      <c r="C65" s="14" t="s">
        <v>60</v>
      </c>
      <c r="D65" s="14">
        <v>10</v>
      </c>
      <c r="E65" s="14">
        <v>2</v>
      </c>
      <c r="F65" s="14" t="s">
        <v>91</v>
      </c>
      <c r="G65" s="14">
        <v>0</v>
      </c>
      <c r="H65" s="14">
        <v>1</v>
      </c>
      <c r="I65" s="14">
        <v>8.3475440936752798E-2</v>
      </c>
      <c r="J65" s="14">
        <v>8.3475440936752798E-2</v>
      </c>
      <c r="K65" s="14">
        <v>8.3475440936752798E-2</v>
      </c>
      <c r="L65" s="14">
        <v>0</v>
      </c>
      <c r="Q65" s="14" t="s">
        <v>247</v>
      </c>
    </row>
    <row r="66" spans="1:17" x14ac:dyDescent="0.25">
      <c r="A66" s="14" t="s">
        <v>92</v>
      </c>
      <c r="B66" s="14" t="s">
        <v>66</v>
      </c>
      <c r="C66" s="14" t="s">
        <v>60</v>
      </c>
      <c r="D66" s="14">
        <v>10</v>
      </c>
      <c r="E66" s="14">
        <v>2</v>
      </c>
      <c r="F66" s="14" t="s">
        <v>91</v>
      </c>
      <c r="G66" s="14">
        <v>1</v>
      </c>
      <c r="H66" s="14">
        <v>-1</v>
      </c>
      <c r="I66" s="14">
        <v>8.3475440936752798E-2</v>
      </c>
      <c r="J66" s="14">
        <v>8.3475440936752798E-2</v>
      </c>
      <c r="K66" s="14">
        <v>8.3475440936752798E-2</v>
      </c>
      <c r="L66" s="14">
        <v>0</v>
      </c>
      <c r="Q66" s="14" t="s">
        <v>248</v>
      </c>
    </row>
    <row r="67" spans="1:17" x14ac:dyDescent="0.25">
      <c r="A67" s="14" t="s">
        <v>92</v>
      </c>
      <c r="B67" s="14" t="s">
        <v>66</v>
      </c>
      <c r="C67" s="14" t="s">
        <v>60</v>
      </c>
      <c r="D67" s="14">
        <v>10</v>
      </c>
      <c r="E67" s="14">
        <v>2</v>
      </c>
      <c r="F67" s="14" t="s">
        <v>65</v>
      </c>
      <c r="G67" s="14">
        <v>0</v>
      </c>
      <c r="H67" s="14">
        <v>-1</v>
      </c>
      <c r="I67" s="14">
        <v>6.4597971776741203E-2</v>
      </c>
      <c r="J67" s="14">
        <v>6.4597971776741203E-2</v>
      </c>
      <c r="K67" s="14">
        <v>6.4597971776741203E-2</v>
      </c>
      <c r="L67" s="14">
        <v>0</v>
      </c>
      <c r="Q67" s="14" t="s">
        <v>249</v>
      </c>
    </row>
    <row r="68" spans="1:17" x14ac:dyDescent="0.25">
      <c r="A68" s="14" t="s">
        <v>92</v>
      </c>
      <c r="B68" s="14" t="s">
        <v>66</v>
      </c>
      <c r="C68" s="14" t="s">
        <v>60</v>
      </c>
      <c r="D68" s="14">
        <v>10</v>
      </c>
      <c r="E68" s="14">
        <v>2</v>
      </c>
      <c r="F68" s="14" t="s">
        <v>65</v>
      </c>
      <c r="G68" s="14">
        <v>1</v>
      </c>
      <c r="H68" s="14">
        <v>-1</v>
      </c>
      <c r="I68" s="14">
        <v>6.0570960138861603E-2</v>
      </c>
      <c r="J68" s="14">
        <v>6.0570960138861603E-2</v>
      </c>
      <c r="K68" s="14">
        <v>6.0570960138861603E-2</v>
      </c>
      <c r="L68" s="14">
        <v>0</v>
      </c>
      <c r="Q68" s="14" t="s">
        <v>250</v>
      </c>
    </row>
    <row r="69" spans="1:17" x14ac:dyDescent="0.25">
      <c r="A69" s="14" t="s">
        <v>92</v>
      </c>
      <c r="B69" s="14" t="s">
        <v>66</v>
      </c>
      <c r="C69" s="14" t="s">
        <v>60</v>
      </c>
      <c r="D69" s="14">
        <v>10</v>
      </c>
      <c r="E69" s="14">
        <v>2</v>
      </c>
      <c r="F69" s="14" t="s">
        <v>92</v>
      </c>
      <c r="G69" s="14">
        <v>0</v>
      </c>
      <c r="H69" s="14">
        <v>1</v>
      </c>
      <c r="I69" s="14">
        <v>12.9507052489187</v>
      </c>
      <c r="J69" s="14">
        <v>12.9507052489187</v>
      </c>
      <c r="K69" s="14">
        <v>12.9507052489187</v>
      </c>
      <c r="L69" s="14">
        <v>0</v>
      </c>
      <c r="Q69" s="14" t="s">
        <v>251</v>
      </c>
    </row>
    <row r="70" spans="1:17" x14ac:dyDescent="0.25">
      <c r="A70" s="14" t="s">
        <v>92</v>
      </c>
      <c r="B70" s="14" t="s">
        <v>66</v>
      </c>
      <c r="C70" s="14" t="s">
        <v>60</v>
      </c>
      <c r="D70" s="14">
        <v>10</v>
      </c>
      <c r="E70" s="14">
        <v>2</v>
      </c>
      <c r="F70" s="14" t="s">
        <v>92</v>
      </c>
      <c r="G70" s="14">
        <v>1</v>
      </c>
      <c r="H70" s="14">
        <v>1</v>
      </c>
      <c r="I70" s="14">
        <v>6.4597971776754595E-2</v>
      </c>
      <c r="J70" s="14">
        <v>6.4597971776754595E-2</v>
      </c>
      <c r="K70" s="14">
        <v>6.4597971776754595E-2</v>
      </c>
      <c r="L70" s="14">
        <v>0</v>
      </c>
      <c r="Q70" s="14" t="s">
        <v>252</v>
      </c>
    </row>
    <row r="71" spans="1:17" x14ac:dyDescent="0.25">
      <c r="A71" s="14" t="s">
        <v>92</v>
      </c>
      <c r="B71" s="14" t="s">
        <v>66</v>
      </c>
      <c r="C71" s="14" t="s">
        <v>60</v>
      </c>
      <c r="D71" s="14">
        <v>10</v>
      </c>
      <c r="E71" s="14">
        <v>2</v>
      </c>
      <c r="F71" s="14" t="s">
        <v>93</v>
      </c>
      <c r="G71" s="14">
        <v>0</v>
      </c>
      <c r="H71" s="14">
        <v>1</v>
      </c>
      <c r="I71" s="14">
        <v>2.8090300250323899E-2</v>
      </c>
      <c r="J71" s="14">
        <v>2.8090300250323899E-2</v>
      </c>
      <c r="K71" s="14">
        <v>2.8090300250323899E-2</v>
      </c>
      <c r="L71" s="14">
        <v>0</v>
      </c>
      <c r="Q71" s="14" t="s">
        <v>253</v>
      </c>
    </row>
    <row r="72" spans="1:17" x14ac:dyDescent="0.25">
      <c r="A72" s="14" t="s">
        <v>92</v>
      </c>
      <c r="B72" s="14" t="s">
        <v>66</v>
      </c>
      <c r="C72" s="14" t="s">
        <v>60</v>
      </c>
      <c r="D72" s="14">
        <v>10</v>
      </c>
      <c r="E72" s="14">
        <v>2</v>
      </c>
      <c r="F72" s="14" t="s">
        <v>93</v>
      </c>
      <c r="G72" s="14">
        <v>1</v>
      </c>
      <c r="H72" s="14">
        <v>-1</v>
      </c>
      <c r="I72" s="14">
        <v>2.8090300250323899E-2</v>
      </c>
      <c r="J72" s="14">
        <v>2.8090300250323899E-2</v>
      </c>
      <c r="K72" s="14">
        <v>2.8090300250323899E-2</v>
      </c>
      <c r="L72" s="14">
        <v>0</v>
      </c>
      <c r="Q72" s="14" t="s">
        <v>254</v>
      </c>
    </row>
    <row r="73" spans="1:17" x14ac:dyDescent="0.25">
      <c r="A73" s="14" t="s">
        <v>92</v>
      </c>
      <c r="B73" s="14" t="s">
        <v>66</v>
      </c>
      <c r="C73" s="14" t="s">
        <v>60</v>
      </c>
      <c r="D73" s="14">
        <v>10</v>
      </c>
      <c r="E73" s="14">
        <v>2</v>
      </c>
      <c r="F73" s="14" t="s">
        <v>94</v>
      </c>
      <c r="G73" s="14">
        <v>0</v>
      </c>
      <c r="H73" s="14">
        <v>1</v>
      </c>
      <c r="I73" s="14">
        <v>6.0570960138868299E-2</v>
      </c>
      <c r="J73" s="14">
        <v>6.0570960138868299E-2</v>
      </c>
      <c r="K73" s="14">
        <v>6.0570960138868299E-2</v>
      </c>
      <c r="L73" s="14">
        <v>0</v>
      </c>
      <c r="Q73" s="14" t="s">
        <v>255</v>
      </c>
    </row>
    <row r="74" spans="1:17" x14ac:dyDescent="0.25">
      <c r="A74" s="14" t="s">
        <v>92</v>
      </c>
      <c r="B74" s="14" t="s">
        <v>66</v>
      </c>
      <c r="C74" s="14" t="s">
        <v>60</v>
      </c>
      <c r="D74" s="14">
        <v>10</v>
      </c>
      <c r="E74" s="14">
        <v>2</v>
      </c>
      <c r="F74" s="14" t="s">
        <v>94</v>
      </c>
      <c r="G74" s="14">
        <v>1</v>
      </c>
      <c r="H74" s="14">
        <v>-1</v>
      </c>
      <c r="I74" s="14">
        <v>0.11587488026566101</v>
      </c>
      <c r="J74" s="14">
        <v>0.11587488026566101</v>
      </c>
      <c r="K74" s="14">
        <v>0.11587488026566101</v>
      </c>
      <c r="L74" s="14">
        <v>0</v>
      </c>
      <c r="Q74" s="14" t="s">
        <v>256</v>
      </c>
    </row>
    <row r="75" spans="1:17" x14ac:dyDescent="0.25">
      <c r="A75" s="14" t="s">
        <v>92</v>
      </c>
      <c r="B75" s="14" t="s">
        <v>66</v>
      </c>
      <c r="C75" s="14" t="s">
        <v>60</v>
      </c>
      <c r="D75" s="14">
        <v>10</v>
      </c>
      <c r="E75" s="14">
        <v>50</v>
      </c>
      <c r="F75" s="14" t="s">
        <v>91</v>
      </c>
      <c r="G75" s="14">
        <v>0</v>
      </c>
      <c r="H75" s="14">
        <v>1</v>
      </c>
      <c r="I75" s="14">
        <v>8.05036562095299E-2</v>
      </c>
      <c r="J75" s="14">
        <v>8.05036562095299E-2</v>
      </c>
      <c r="K75" s="14">
        <v>8.05036562095299E-2</v>
      </c>
      <c r="L75" s="14">
        <v>0</v>
      </c>
      <c r="Q75" s="14" t="s">
        <v>257</v>
      </c>
    </row>
    <row r="76" spans="1:17" x14ac:dyDescent="0.25">
      <c r="A76" s="14" t="s">
        <v>92</v>
      </c>
      <c r="B76" s="14" t="s">
        <v>66</v>
      </c>
      <c r="C76" s="14" t="s">
        <v>60</v>
      </c>
      <c r="D76" s="14">
        <v>10</v>
      </c>
      <c r="E76" s="14">
        <v>50</v>
      </c>
      <c r="F76" s="14" t="s">
        <v>91</v>
      </c>
      <c r="G76" s="14">
        <v>1</v>
      </c>
      <c r="H76" s="14">
        <v>-1</v>
      </c>
      <c r="I76" s="14">
        <v>8.05036562095299E-2</v>
      </c>
      <c r="J76" s="14">
        <v>8.05036562095299E-2</v>
      </c>
      <c r="K76" s="14">
        <v>8.05036562095299E-2</v>
      </c>
      <c r="L76" s="14">
        <v>0</v>
      </c>
      <c r="Q76" s="14" t="s">
        <v>258</v>
      </c>
    </row>
    <row r="77" spans="1:17" x14ac:dyDescent="0.25">
      <c r="A77" s="14" t="s">
        <v>92</v>
      </c>
      <c r="B77" s="14" t="s">
        <v>66</v>
      </c>
      <c r="C77" s="14" t="s">
        <v>60</v>
      </c>
      <c r="D77" s="14">
        <v>10</v>
      </c>
      <c r="E77" s="14">
        <v>50</v>
      </c>
      <c r="F77" s="14" t="s">
        <v>65</v>
      </c>
      <c r="G77" s="14">
        <v>0</v>
      </c>
      <c r="H77" s="14">
        <v>-1</v>
      </c>
      <c r="I77" s="14">
        <v>9.8416065859378593E-2</v>
      </c>
      <c r="J77" s="14">
        <v>9.8416065859378593E-2</v>
      </c>
      <c r="K77" s="14">
        <v>9.8416065859378593E-2</v>
      </c>
      <c r="L77" s="14">
        <v>0</v>
      </c>
      <c r="Q77" s="14" t="s">
        <v>259</v>
      </c>
    </row>
    <row r="78" spans="1:17" x14ac:dyDescent="0.25">
      <c r="A78" s="14" t="s">
        <v>92</v>
      </c>
      <c r="B78" s="14" t="s">
        <v>66</v>
      </c>
      <c r="C78" s="14" t="s">
        <v>60</v>
      </c>
      <c r="D78" s="14">
        <v>10</v>
      </c>
      <c r="E78" s="14">
        <v>50</v>
      </c>
      <c r="F78" s="14" t="s">
        <v>65</v>
      </c>
      <c r="G78" s="14">
        <v>1</v>
      </c>
      <c r="H78" s="14">
        <v>1</v>
      </c>
      <c r="I78" s="14">
        <v>8.9457364832941005E-2</v>
      </c>
      <c r="J78" s="14">
        <v>8.9457364832941005E-2</v>
      </c>
      <c r="K78" s="14">
        <v>8.9457364832941005E-2</v>
      </c>
      <c r="L78" s="14">
        <v>0</v>
      </c>
      <c r="Q78" s="14" t="s">
        <v>260</v>
      </c>
    </row>
    <row r="79" spans="1:17" x14ac:dyDescent="0.25">
      <c r="A79" s="14" t="s">
        <v>92</v>
      </c>
      <c r="B79" s="14" t="s">
        <v>66</v>
      </c>
      <c r="C79" s="14" t="s">
        <v>60</v>
      </c>
      <c r="D79" s="14">
        <v>10</v>
      </c>
      <c r="E79" s="14">
        <v>50</v>
      </c>
      <c r="F79" s="14" t="s">
        <v>92</v>
      </c>
      <c r="G79" s="14">
        <v>0</v>
      </c>
      <c r="H79" s="14">
        <v>1</v>
      </c>
      <c r="I79" s="14">
        <v>10.973462331958499</v>
      </c>
      <c r="J79" s="14">
        <v>10.973462331958499</v>
      </c>
      <c r="K79" s="14">
        <v>10.973462331958499</v>
      </c>
      <c r="L79" s="14">
        <v>0</v>
      </c>
      <c r="Q79" s="14" t="s">
        <v>261</v>
      </c>
    </row>
    <row r="80" spans="1:17" x14ac:dyDescent="0.25">
      <c r="A80" s="14" t="s">
        <v>92</v>
      </c>
      <c r="B80" s="14" t="s">
        <v>66</v>
      </c>
      <c r="C80" s="14" t="s">
        <v>60</v>
      </c>
      <c r="D80" s="14">
        <v>10</v>
      </c>
      <c r="E80" s="14">
        <v>50</v>
      </c>
      <c r="F80" s="14" t="s">
        <v>92</v>
      </c>
      <c r="G80" s="14">
        <v>1</v>
      </c>
      <c r="H80" s="14">
        <v>1</v>
      </c>
      <c r="I80" s="14">
        <v>9.8416065859378704E-2</v>
      </c>
      <c r="J80" s="14">
        <v>9.8416065859378704E-2</v>
      </c>
      <c r="K80" s="14">
        <v>9.8416065859378704E-2</v>
      </c>
      <c r="L80" s="14">
        <v>0</v>
      </c>
      <c r="Q80" s="14" t="s">
        <v>262</v>
      </c>
    </row>
    <row r="81" spans="1:17" x14ac:dyDescent="0.25">
      <c r="A81" s="14" t="s">
        <v>92</v>
      </c>
      <c r="B81" s="14" t="s">
        <v>66</v>
      </c>
      <c r="C81" s="14" t="s">
        <v>60</v>
      </c>
      <c r="D81" s="14">
        <v>10</v>
      </c>
      <c r="E81" s="14">
        <v>50</v>
      </c>
      <c r="F81" s="14" t="s">
        <v>93</v>
      </c>
      <c r="G81" s="14">
        <v>0</v>
      </c>
      <c r="H81" s="14">
        <v>1</v>
      </c>
      <c r="I81" s="14">
        <v>2.70902656972851E-2</v>
      </c>
      <c r="J81" s="14">
        <v>2.70902656972851E-2</v>
      </c>
      <c r="K81" s="14">
        <v>2.70902656972851E-2</v>
      </c>
      <c r="L81" s="14">
        <v>0</v>
      </c>
      <c r="Q81" s="14" t="s">
        <v>263</v>
      </c>
    </row>
    <row r="82" spans="1:17" x14ac:dyDescent="0.25">
      <c r="A82" s="14" t="s">
        <v>92</v>
      </c>
      <c r="B82" s="14" t="s">
        <v>66</v>
      </c>
      <c r="C82" s="14" t="s">
        <v>60</v>
      </c>
      <c r="D82" s="14">
        <v>10</v>
      </c>
      <c r="E82" s="14">
        <v>50</v>
      </c>
      <c r="F82" s="14" t="s">
        <v>93</v>
      </c>
      <c r="G82" s="14">
        <v>1</v>
      </c>
      <c r="H82" s="14">
        <v>-1</v>
      </c>
      <c r="I82" s="14">
        <v>2.70902656972851E-2</v>
      </c>
      <c r="J82" s="14">
        <v>2.70902656972851E-2</v>
      </c>
      <c r="K82" s="14">
        <v>2.70902656972851E-2</v>
      </c>
      <c r="L82" s="14">
        <v>0</v>
      </c>
      <c r="Q82" s="14" t="s">
        <v>264</v>
      </c>
    </row>
    <row r="83" spans="1:17" x14ac:dyDescent="0.25">
      <c r="A83" s="14" t="s">
        <v>92</v>
      </c>
      <c r="B83" s="14" t="s">
        <v>66</v>
      </c>
      <c r="C83" s="14" t="s">
        <v>60</v>
      </c>
      <c r="D83" s="14">
        <v>10</v>
      </c>
      <c r="E83" s="14">
        <v>50</v>
      </c>
      <c r="F83" s="14" t="s">
        <v>94</v>
      </c>
      <c r="G83" s="14">
        <v>0</v>
      </c>
      <c r="H83" s="14">
        <v>-1</v>
      </c>
      <c r="I83" s="14">
        <v>8.9457364832936301E-2</v>
      </c>
      <c r="J83" s="14">
        <v>8.9457364832936301E-2</v>
      </c>
      <c r="K83" s="14">
        <v>8.9457364832936301E-2</v>
      </c>
      <c r="L83" s="14">
        <v>0</v>
      </c>
      <c r="Q83" s="14" t="s">
        <v>265</v>
      </c>
    </row>
    <row r="84" spans="1:17" x14ac:dyDescent="0.25">
      <c r="A84" s="14" t="s">
        <v>92</v>
      </c>
      <c r="B84" s="14" t="s">
        <v>66</v>
      </c>
      <c r="C84" s="14" t="s">
        <v>60</v>
      </c>
      <c r="D84" s="14">
        <v>10</v>
      </c>
      <c r="E84" s="14">
        <v>50</v>
      </c>
      <c r="F84" s="14" t="s">
        <v>94</v>
      </c>
      <c r="G84" s="14">
        <v>1</v>
      </c>
      <c r="H84" s="14">
        <v>1</v>
      </c>
      <c r="I84" s="14">
        <v>0.17113582837605201</v>
      </c>
      <c r="J84" s="14">
        <v>0.17113582837605201</v>
      </c>
      <c r="K84" s="14">
        <v>0.17113582837605201</v>
      </c>
      <c r="L84" s="14">
        <v>0</v>
      </c>
      <c r="Q84" s="14" t="s">
        <v>266</v>
      </c>
    </row>
    <row r="85" spans="1:17" x14ac:dyDescent="0.25">
      <c r="A85" s="14" t="s">
        <v>92</v>
      </c>
      <c r="B85" s="14" t="s">
        <v>66</v>
      </c>
      <c r="C85" s="14" t="s">
        <v>60</v>
      </c>
      <c r="D85" s="14">
        <v>10</v>
      </c>
      <c r="E85" s="14">
        <v>98</v>
      </c>
      <c r="F85" s="14" t="s">
        <v>91</v>
      </c>
      <c r="G85" s="14">
        <v>0</v>
      </c>
      <c r="H85" s="14">
        <v>1</v>
      </c>
      <c r="I85" s="14">
        <v>7.9698331402696498E-2</v>
      </c>
      <c r="J85" s="14">
        <v>7.9698331402696498E-2</v>
      </c>
      <c r="K85" s="14">
        <v>7.9698331402696498E-2</v>
      </c>
      <c r="L85" s="14">
        <v>0</v>
      </c>
      <c r="Q85" s="14" t="s">
        <v>267</v>
      </c>
    </row>
    <row r="86" spans="1:17" x14ac:dyDescent="0.25">
      <c r="A86" s="14" t="s">
        <v>92</v>
      </c>
      <c r="B86" s="14" t="s">
        <v>66</v>
      </c>
      <c r="C86" s="14" t="s">
        <v>60</v>
      </c>
      <c r="D86" s="14">
        <v>10</v>
      </c>
      <c r="E86" s="14">
        <v>98</v>
      </c>
      <c r="F86" s="14" t="s">
        <v>91</v>
      </c>
      <c r="G86" s="14">
        <v>1</v>
      </c>
      <c r="H86" s="14">
        <v>-1</v>
      </c>
      <c r="I86" s="14">
        <v>7.9698331402696498E-2</v>
      </c>
      <c r="J86" s="14">
        <v>7.9698331402696498E-2</v>
      </c>
      <c r="K86" s="14">
        <v>7.9698331402696498E-2</v>
      </c>
      <c r="L86" s="14">
        <v>0</v>
      </c>
      <c r="Q86" s="14" t="s">
        <v>268</v>
      </c>
    </row>
    <row r="87" spans="1:17" x14ac:dyDescent="0.25">
      <c r="A87" s="14" t="s">
        <v>92</v>
      </c>
      <c r="B87" s="14" t="s">
        <v>66</v>
      </c>
      <c r="C87" s="14" t="s">
        <v>60</v>
      </c>
      <c r="D87" s="14">
        <v>10</v>
      </c>
      <c r="E87" s="14">
        <v>98</v>
      </c>
      <c r="F87" s="14" t="s">
        <v>65</v>
      </c>
      <c r="G87" s="14">
        <v>0</v>
      </c>
      <c r="H87" s="14">
        <v>-1</v>
      </c>
      <c r="I87" s="14">
        <v>0.123997844749619</v>
      </c>
      <c r="J87" s="14">
        <v>0.123997844749619</v>
      </c>
      <c r="K87" s="14">
        <v>0.123997844749619</v>
      </c>
      <c r="L87" s="14">
        <v>0</v>
      </c>
      <c r="Q87" s="14" t="s">
        <v>269</v>
      </c>
    </row>
    <row r="88" spans="1:17" x14ac:dyDescent="0.25">
      <c r="A88" s="14" t="s">
        <v>92</v>
      </c>
      <c r="B88" s="14" t="s">
        <v>66</v>
      </c>
      <c r="C88" s="14" t="s">
        <v>60</v>
      </c>
      <c r="D88" s="14">
        <v>10</v>
      </c>
      <c r="E88" s="14">
        <v>98</v>
      </c>
      <c r="F88" s="14" t="s">
        <v>65</v>
      </c>
      <c r="G88" s="14">
        <v>1</v>
      </c>
      <c r="H88" s="14">
        <v>1</v>
      </c>
      <c r="I88" s="14">
        <v>0.11505849307987601</v>
      </c>
      <c r="J88" s="14">
        <v>0.11505849307987601</v>
      </c>
      <c r="K88" s="14">
        <v>0.11505849307987601</v>
      </c>
      <c r="L88" s="14">
        <v>0</v>
      </c>
      <c r="Q88" s="14" t="s">
        <v>270</v>
      </c>
    </row>
    <row r="89" spans="1:17" x14ac:dyDescent="0.25">
      <c r="A89" s="14" t="s">
        <v>92</v>
      </c>
      <c r="B89" s="14" t="s">
        <v>66</v>
      </c>
      <c r="C89" s="14" t="s">
        <v>60</v>
      </c>
      <c r="D89" s="14">
        <v>10</v>
      </c>
      <c r="E89" s="14">
        <v>98</v>
      </c>
      <c r="F89" s="14" t="s">
        <v>92</v>
      </c>
      <c r="G89" s="14">
        <v>0</v>
      </c>
      <c r="H89" s="14">
        <v>1</v>
      </c>
      <c r="I89" s="14">
        <v>9.2848276405225398</v>
      </c>
      <c r="J89" s="14">
        <v>9.2848276405225398</v>
      </c>
      <c r="K89" s="14">
        <v>9.2848276405225398</v>
      </c>
      <c r="L89" s="14">
        <v>0</v>
      </c>
      <c r="Q89" s="14" t="s">
        <v>271</v>
      </c>
    </row>
    <row r="90" spans="1:17" x14ac:dyDescent="0.25">
      <c r="A90" s="14" t="s">
        <v>92</v>
      </c>
      <c r="B90" s="14" t="s">
        <v>66</v>
      </c>
      <c r="C90" s="14" t="s">
        <v>60</v>
      </c>
      <c r="D90" s="14">
        <v>10</v>
      </c>
      <c r="E90" s="14">
        <v>98</v>
      </c>
      <c r="F90" s="14" t="s">
        <v>92</v>
      </c>
      <c r="G90" s="14">
        <v>1</v>
      </c>
      <c r="H90" s="14">
        <v>1</v>
      </c>
      <c r="I90" s="14">
        <v>0.12399784474976799</v>
      </c>
      <c r="J90" s="14">
        <v>0.12399784474976799</v>
      </c>
      <c r="K90" s="14">
        <v>0.12399784474976799</v>
      </c>
      <c r="L90" s="14">
        <v>0</v>
      </c>
      <c r="Q90" s="14" t="s">
        <v>272</v>
      </c>
    </row>
    <row r="91" spans="1:17" x14ac:dyDescent="0.25">
      <c r="A91" s="14" t="s">
        <v>92</v>
      </c>
      <c r="B91" s="14" t="s">
        <v>66</v>
      </c>
      <c r="C91" s="14" t="s">
        <v>60</v>
      </c>
      <c r="D91" s="14">
        <v>10</v>
      </c>
      <c r="E91" s="14">
        <v>98</v>
      </c>
      <c r="F91" s="14" t="s">
        <v>93</v>
      </c>
      <c r="G91" s="14">
        <v>0</v>
      </c>
      <c r="H91" s="14">
        <v>1</v>
      </c>
      <c r="I91" s="14">
        <v>2.6819266043145901E-2</v>
      </c>
      <c r="J91" s="14">
        <v>2.6819266043145901E-2</v>
      </c>
      <c r="K91" s="14">
        <v>2.6819266043145901E-2</v>
      </c>
      <c r="L91" s="14">
        <v>0</v>
      </c>
      <c r="Q91" s="14" t="s">
        <v>273</v>
      </c>
    </row>
    <row r="92" spans="1:17" x14ac:dyDescent="0.25">
      <c r="A92" s="14" t="s">
        <v>92</v>
      </c>
      <c r="B92" s="14" t="s">
        <v>66</v>
      </c>
      <c r="C92" s="14" t="s">
        <v>60</v>
      </c>
      <c r="D92" s="14">
        <v>10</v>
      </c>
      <c r="E92" s="14">
        <v>98</v>
      </c>
      <c r="F92" s="14" t="s">
        <v>93</v>
      </c>
      <c r="G92" s="14">
        <v>1</v>
      </c>
      <c r="H92" s="14">
        <v>-1</v>
      </c>
      <c r="I92" s="14">
        <v>2.6819266043145901E-2</v>
      </c>
      <c r="J92" s="14">
        <v>2.6819266043145901E-2</v>
      </c>
      <c r="K92" s="14">
        <v>2.6819266043145901E-2</v>
      </c>
      <c r="L92" s="14">
        <v>0</v>
      </c>
      <c r="Q92" s="14" t="s">
        <v>274</v>
      </c>
    </row>
    <row r="93" spans="1:17" x14ac:dyDescent="0.25">
      <c r="A93" s="14" t="s">
        <v>92</v>
      </c>
      <c r="B93" s="14" t="s">
        <v>66</v>
      </c>
      <c r="C93" s="14" t="s">
        <v>60</v>
      </c>
      <c r="D93" s="14">
        <v>10</v>
      </c>
      <c r="E93" s="14">
        <v>98</v>
      </c>
      <c r="F93" s="14" t="s">
        <v>94</v>
      </c>
      <c r="G93" s="14">
        <v>0</v>
      </c>
      <c r="H93" s="14">
        <v>-1</v>
      </c>
      <c r="I93" s="14">
        <v>0.11505849307987601</v>
      </c>
      <c r="J93" s="14">
        <v>0.11505849307987601</v>
      </c>
      <c r="K93" s="14">
        <v>0.11505849307987601</v>
      </c>
      <c r="L93" s="14">
        <v>0</v>
      </c>
      <c r="Q93" s="14" t="s">
        <v>275</v>
      </c>
    </row>
    <row r="94" spans="1:17" x14ac:dyDescent="0.25">
      <c r="A94" s="14" t="s">
        <v>92</v>
      </c>
      <c r="B94" s="14" t="s">
        <v>66</v>
      </c>
      <c r="C94" s="14" t="s">
        <v>60</v>
      </c>
      <c r="D94" s="14">
        <v>10</v>
      </c>
      <c r="E94" s="14">
        <v>98</v>
      </c>
      <c r="F94" s="14" t="s">
        <v>94</v>
      </c>
      <c r="G94" s="14">
        <v>1</v>
      </c>
      <c r="H94" s="14">
        <v>1</v>
      </c>
      <c r="I94" s="14">
        <v>0.220111899804981</v>
      </c>
      <c r="J94" s="14">
        <v>0.220111899804981</v>
      </c>
      <c r="K94" s="14">
        <v>0.220111899804981</v>
      </c>
      <c r="L94" s="14">
        <v>0</v>
      </c>
      <c r="Q94" s="14" t="s">
        <v>276</v>
      </c>
    </row>
    <row r="95" spans="1:17" x14ac:dyDescent="0.25">
      <c r="A95" s="14" t="s">
        <v>92</v>
      </c>
      <c r="B95" s="14" t="s">
        <v>66</v>
      </c>
      <c r="C95" s="14" t="s">
        <v>60</v>
      </c>
      <c r="D95" s="14">
        <v>30</v>
      </c>
      <c r="E95" s="14">
        <v>2</v>
      </c>
      <c r="F95" s="14" t="s">
        <v>91</v>
      </c>
      <c r="G95" s="14">
        <v>0</v>
      </c>
      <c r="H95" s="14">
        <v>1</v>
      </c>
      <c r="I95" s="14">
        <v>8.7903244257951305E-2</v>
      </c>
      <c r="J95" s="14">
        <v>8.7903244257951305E-2</v>
      </c>
      <c r="K95" s="14">
        <v>8.7903244257951305E-2</v>
      </c>
      <c r="L95" s="14">
        <v>0</v>
      </c>
      <c r="Q95" s="14" t="s">
        <v>277</v>
      </c>
    </row>
    <row r="96" spans="1:17" x14ac:dyDescent="0.25">
      <c r="A96" s="14" t="s">
        <v>92</v>
      </c>
      <c r="B96" s="14" t="s">
        <v>66</v>
      </c>
      <c r="C96" s="14" t="s">
        <v>60</v>
      </c>
      <c r="D96" s="14">
        <v>30</v>
      </c>
      <c r="E96" s="14">
        <v>2</v>
      </c>
      <c r="F96" s="14" t="s">
        <v>91</v>
      </c>
      <c r="G96" s="14">
        <v>1</v>
      </c>
      <c r="H96" s="14">
        <v>-1</v>
      </c>
      <c r="I96" s="14">
        <v>8.7903244257951305E-2</v>
      </c>
      <c r="J96" s="14">
        <v>8.7903244257951305E-2</v>
      </c>
      <c r="K96" s="14">
        <v>8.7903244257951305E-2</v>
      </c>
      <c r="L96" s="14">
        <v>0</v>
      </c>
      <c r="Q96" s="14" t="s">
        <v>278</v>
      </c>
    </row>
    <row r="97" spans="1:17" x14ac:dyDescent="0.25">
      <c r="A97" s="14" t="s">
        <v>92</v>
      </c>
      <c r="B97" s="14" t="s">
        <v>66</v>
      </c>
      <c r="C97" s="14" t="s">
        <v>60</v>
      </c>
      <c r="D97" s="14">
        <v>30</v>
      </c>
      <c r="E97" s="14">
        <v>2</v>
      </c>
      <c r="F97" s="14" t="s">
        <v>65</v>
      </c>
      <c r="G97" s="14">
        <v>0</v>
      </c>
      <c r="H97" s="14">
        <v>-1</v>
      </c>
      <c r="I97" s="14">
        <v>5.2866192917378901E-2</v>
      </c>
      <c r="J97" s="14">
        <v>5.2866192917378901E-2</v>
      </c>
      <c r="K97" s="14">
        <v>5.2866192917378901E-2</v>
      </c>
      <c r="L97" s="14">
        <v>0</v>
      </c>
      <c r="Q97" s="14" t="s">
        <v>279</v>
      </c>
    </row>
    <row r="98" spans="1:17" x14ac:dyDescent="0.25">
      <c r="A98" s="14" t="s">
        <v>92</v>
      </c>
      <c r="B98" s="14" t="s">
        <v>66</v>
      </c>
      <c r="C98" s="14" t="s">
        <v>60</v>
      </c>
      <c r="D98" s="14">
        <v>30</v>
      </c>
      <c r="E98" s="14">
        <v>2</v>
      </c>
      <c r="F98" s="14" t="s">
        <v>65</v>
      </c>
      <c r="G98" s="14">
        <v>1</v>
      </c>
      <c r="H98" s="14">
        <v>-1</v>
      </c>
      <c r="I98" s="14">
        <v>4.6551047343354003E-2</v>
      </c>
      <c r="J98" s="14">
        <v>4.6551047343354003E-2</v>
      </c>
      <c r="K98" s="14">
        <v>4.6551047343354003E-2</v>
      </c>
      <c r="L98" s="14">
        <v>0</v>
      </c>
      <c r="Q98" s="14" t="s">
        <v>280</v>
      </c>
    </row>
    <row r="99" spans="1:17" x14ac:dyDescent="0.25">
      <c r="A99" s="14" t="s">
        <v>92</v>
      </c>
      <c r="B99" s="14" t="s">
        <v>66</v>
      </c>
      <c r="C99" s="14" t="s">
        <v>60</v>
      </c>
      <c r="D99" s="14">
        <v>30</v>
      </c>
      <c r="E99" s="14">
        <v>2</v>
      </c>
      <c r="F99" s="14" t="s">
        <v>92</v>
      </c>
      <c r="G99" s="14">
        <v>0</v>
      </c>
      <c r="H99" s="14">
        <v>1</v>
      </c>
      <c r="I99" s="14">
        <v>4.5662323243175704</v>
      </c>
      <c r="J99" s="14">
        <v>4.5662323243175704</v>
      </c>
      <c r="K99" s="14">
        <v>4.5662323243175704</v>
      </c>
      <c r="L99" s="14">
        <v>0</v>
      </c>
      <c r="Q99" s="14" t="s">
        <v>281</v>
      </c>
    </row>
    <row r="100" spans="1:17" x14ac:dyDescent="0.25">
      <c r="A100" s="14" t="s">
        <v>92</v>
      </c>
      <c r="B100" s="14" t="s">
        <v>66</v>
      </c>
      <c r="C100" s="14" t="s">
        <v>60</v>
      </c>
      <c r="D100" s="14">
        <v>30</v>
      </c>
      <c r="E100" s="14">
        <v>2</v>
      </c>
      <c r="F100" s="14" t="s">
        <v>92</v>
      </c>
      <c r="G100" s="14">
        <v>1</v>
      </c>
      <c r="H100" s="14">
        <v>1</v>
      </c>
      <c r="I100" s="14">
        <v>5.2866192917390198E-2</v>
      </c>
      <c r="J100" s="14">
        <v>5.2866192917390198E-2</v>
      </c>
      <c r="K100" s="14">
        <v>5.2866192917390198E-2</v>
      </c>
      <c r="L100" s="14">
        <v>0</v>
      </c>
      <c r="Q100" s="14" t="s">
        <v>282</v>
      </c>
    </row>
    <row r="101" spans="1:17" x14ac:dyDescent="0.25">
      <c r="A101" s="14" t="s">
        <v>92</v>
      </c>
      <c r="B101" s="14" t="s">
        <v>66</v>
      </c>
      <c r="C101" s="14" t="s">
        <v>60</v>
      </c>
      <c r="D101" s="14">
        <v>30</v>
      </c>
      <c r="E101" s="14">
        <v>2</v>
      </c>
      <c r="F101" s="14" t="s">
        <v>93</v>
      </c>
      <c r="G101" s="14">
        <v>0</v>
      </c>
      <c r="H101" s="14">
        <v>1</v>
      </c>
      <c r="I101" s="14">
        <v>2.9580299264963101E-2</v>
      </c>
      <c r="J101" s="14">
        <v>2.9580299264963101E-2</v>
      </c>
      <c r="K101" s="14">
        <v>2.9580299264963101E-2</v>
      </c>
      <c r="L101" s="14">
        <v>0</v>
      </c>
      <c r="Q101" s="14" t="s">
        <v>283</v>
      </c>
    </row>
    <row r="102" spans="1:17" x14ac:dyDescent="0.25">
      <c r="A102" s="14" t="s">
        <v>92</v>
      </c>
      <c r="B102" s="14" t="s">
        <v>66</v>
      </c>
      <c r="C102" s="14" t="s">
        <v>60</v>
      </c>
      <c r="D102" s="14">
        <v>30</v>
      </c>
      <c r="E102" s="14">
        <v>2</v>
      </c>
      <c r="F102" s="14" t="s">
        <v>93</v>
      </c>
      <c r="G102" s="14">
        <v>1</v>
      </c>
      <c r="H102" s="14">
        <v>-1</v>
      </c>
      <c r="I102" s="14">
        <v>2.9580299264963101E-2</v>
      </c>
      <c r="J102" s="14">
        <v>2.9580299264963101E-2</v>
      </c>
      <c r="K102" s="14">
        <v>2.9580299264963101E-2</v>
      </c>
      <c r="L102" s="14">
        <v>0</v>
      </c>
      <c r="Q102" s="14" t="s">
        <v>284</v>
      </c>
    </row>
    <row r="103" spans="1:17" x14ac:dyDescent="0.25">
      <c r="A103" s="14" t="s">
        <v>92</v>
      </c>
      <c r="B103" s="14" t="s">
        <v>66</v>
      </c>
      <c r="C103" s="14" t="s">
        <v>60</v>
      </c>
      <c r="D103" s="14">
        <v>30</v>
      </c>
      <c r="E103" s="14">
        <v>2</v>
      </c>
      <c r="F103" s="14" t="s">
        <v>94</v>
      </c>
      <c r="G103" s="14">
        <v>0</v>
      </c>
      <c r="H103" s="14">
        <v>1</v>
      </c>
      <c r="I103" s="14">
        <v>4.65510473433568E-2</v>
      </c>
      <c r="J103" s="14">
        <v>4.6551047343356702E-2</v>
      </c>
      <c r="K103" s="14">
        <v>4.65510473433568E-2</v>
      </c>
      <c r="L103" s="14">
        <v>0</v>
      </c>
      <c r="Q103" s="14" t="s">
        <v>285</v>
      </c>
    </row>
    <row r="104" spans="1:17" x14ac:dyDescent="0.25">
      <c r="A104" s="14" t="s">
        <v>92</v>
      </c>
      <c r="B104" s="14" t="s">
        <v>66</v>
      </c>
      <c r="C104" s="14" t="s">
        <v>60</v>
      </c>
      <c r="D104" s="14">
        <v>30</v>
      </c>
      <c r="E104" s="14">
        <v>2</v>
      </c>
      <c r="F104" s="14" t="s">
        <v>94</v>
      </c>
      <c r="G104" s="14">
        <v>1</v>
      </c>
      <c r="H104" s="14">
        <v>-1</v>
      </c>
      <c r="I104" s="14">
        <v>8.9054177526421696E-2</v>
      </c>
      <c r="J104" s="14">
        <v>8.9054177526421696E-2</v>
      </c>
      <c r="K104" s="14">
        <v>8.9054177526421696E-2</v>
      </c>
      <c r="L104" s="14">
        <v>0</v>
      </c>
      <c r="Q104" s="14" t="s">
        <v>286</v>
      </c>
    </row>
    <row r="105" spans="1:17" x14ac:dyDescent="0.25">
      <c r="A105" s="14" t="s">
        <v>92</v>
      </c>
      <c r="B105" s="14" t="s">
        <v>66</v>
      </c>
      <c r="C105" s="14" t="s">
        <v>60</v>
      </c>
      <c r="D105" s="14">
        <v>30</v>
      </c>
      <c r="E105" s="14">
        <v>50</v>
      </c>
      <c r="F105" s="14" t="s">
        <v>91</v>
      </c>
      <c r="G105" s="14">
        <v>0</v>
      </c>
      <c r="H105" s="14">
        <v>1</v>
      </c>
      <c r="I105" s="14">
        <v>8.7328912036858705E-2</v>
      </c>
      <c r="J105" s="14">
        <v>8.7328912036858705E-2</v>
      </c>
      <c r="K105" s="14">
        <v>8.7328912036858705E-2</v>
      </c>
      <c r="L105" s="14">
        <v>0</v>
      </c>
      <c r="Q105" s="14" t="s">
        <v>287</v>
      </c>
    </row>
    <row r="106" spans="1:17" x14ac:dyDescent="0.25">
      <c r="A106" s="14" t="s">
        <v>92</v>
      </c>
      <c r="B106" s="14" t="s">
        <v>66</v>
      </c>
      <c r="C106" s="14" t="s">
        <v>60</v>
      </c>
      <c r="D106" s="14">
        <v>30</v>
      </c>
      <c r="E106" s="14">
        <v>50</v>
      </c>
      <c r="F106" s="14" t="s">
        <v>91</v>
      </c>
      <c r="G106" s="14">
        <v>1</v>
      </c>
      <c r="H106" s="14">
        <v>-1</v>
      </c>
      <c r="I106" s="14">
        <v>8.7328912036858705E-2</v>
      </c>
      <c r="J106" s="14">
        <v>8.7328912036858705E-2</v>
      </c>
      <c r="K106" s="14">
        <v>8.7328912036858705E-2</v>
      </c>
      <c r="L106" s="14">
        <v>0</v>
      </c>
      <c r="Q106" s="14" t="s">
        <v>288</v>
      </c>
    </row>
    <row r="107" spans="1:17" x14ac:dyDescent="0.25">
      <c r="A107" s="14" t="s">
        <v>92</v>
      </c>
      <c r="B107" s="14" t="s">
        <v>66</v>
      </c>
      <c r="C107" s="14" t="s">
        <v>60</v>
      </c>
      <c r="D107" s="14">
        <v>30</v>
      </c>
      <c r="E107" s="14">
        <v>50</v>
      </c>
      <c r="F107" s="14" t="s">
        <v>65</v>
      </c>
      <c r="G107" s="14">
        <v>0</v>
      </c>
      <c r="H107" s="14">
        <v>-1</v>
      </c>
      <c r="I107" s="14">
        <v>5.95606089150112E-2</v>
      </c>
      <c r="J107" s="14">
        <v>5.95606089150112E-2</v>
      </c>
      <c r="K107" s="14">
        <v>5.95606089150112E-2</v>
      </c>
      <c r="L107" s="14">
        <v>0</v>
      </c>
      <c r="Q107" s="14" t="s">
        <v>289</v>
      </c>
    </row>
    <row r="108" spans="1:17" x14ac:dyDescent="0.25">
      <c r="A108" s="14" t="s">
        <v>92</v>
      </c>
      <c r="B108" s="14" t="s">
        <v>66</v>
      </c>
      <c r="C108" s="14" t="s">
        <v>60</v>
      </c>
      <c r="D108" s="14">
        <v>30</v>
      </c>
      <c r="E108" s="14">
        <v>50</v>
      </c>
      <c r="F108" s="14" t="s">
        <v>65</v>
      </c>
      <c r="G108" s="14">
        <v>1</v>
      </c>
      <c r="H108" s="14">
        <v>-1</v>
      </c>
      <c r="I108" s="14">
        <v>4.8556440920548102E-2</v>
      </c>
      <c r="J108" s="14">
        <v>4.8556440920548102E-2</v>
      </c>
      <c r="K108" s="14">
        <v>4.8556440920548102E-2</v>
      </c>
      <c r="L108" s="14">
        <v>0</v>
      </c>
      <c r="Q108" s="14" t="s">
        <v>290</v>
      </c>
    </row>
    <row r="109" spans="1:17" x14ac:dyDescent="0.25">
      <c r="A109" s="14" t="s">
        <v>92</v>
      </c>
      <c r="B109" s="14" t="s">
        <v>66</v>
      </c>
      <c r="C109" s="14" t="s">
        <v>60</v>
      </c>
      <c r="D109" s="14">
        <v>30</v>
      </c>
      <c r="E109" s="14">
        <v>50</v>
      </c>
      <c r="F109" s="14" t="s">
        <v>92</v>
      </c>
      <c r="G109" s="14">
        <v>0</v>
      </c>
      <c r="H109" s="14">
        <v>1</v>
      </c>
      <c r="I109" s="14">
        <v>4.3618311069895999</v>
      </c>
      <c r="J109" s="14">
        <v>4.3618311069895999</v>
      </c>
      <c r="K109" s="14">
        <v>4.3618311069895999</v>
      </c>
      <c r="L109" s="14">
        <v>0</v>
      </c>
      <c r="Q109" s="14" t="s">
        <v>291</v>
      </c>
    </row>
    <row r="110" spans="1:17" x14ac:dyDescent="0.25">
      <c r="A110" s="14" t="s">
        <v>92</v>
      </c>
      <c r="B110" s="14" t="s">
        <v>66</v>
      </c>
      <c r="C110" s="14" t="s">
        <v>60</v>
      </c>
      <c r="D110" s="14">
        <v>30</v>
      </c>
      <c r="E110" s="14">
        <v>50</v>
      </c>
      <c r="F110" s="14" t="s">
        <v>92</v>
      </c>
      <c r="G110" s="14">
        <v>1</v>
      </c>
      <c r="H110" s="14">
        <v>1</v>
      </c>
      <c r="I110" s="14">
        <v>5.9560608915018402E-2</v>
      </c>
      <c r="J110" s="14">
        <v>5.9560608915018402E-2</v>
      </c>
      <c r="K110" s="14">
        <v>5.9560608915018402E-2</v>
      </c>
      <c r="L110" s="14">
        <v>0</v>
      </c>
      <c r="Q110" s="14" t="s">
        <v>292</v>
      </c>
    </row>
    <row r="111" spans="1:17" x14ac:dyDescent="0.25">
      <c r="A111" s="14" t="s">
        <v>92</v>
      </c>
      <c r="B111" s="14" t="s">
        <v>66</v>
      </c>
      <c r="C111" s="14" t="s">
        <v>60</v>
      </c>
      <c r="D111" s="14">
        <v>30</v>
      </c>
      <c r="E111" s="14">
        <v>50</v>
      </c>
      <c r="F111" s="14" t="s">
        <v>93</v>
      </c>
      <c r="G111" s="14">
        <v>0</v>
      </c>
      <c r="H111" s="14">
        <v>1</v>
      </c>
      <c r="I111" s="14">
        <v>2.9387030869449701E-2</v>
      </c>
      <c r="J111" s="14">
        <v>2.9387030869449701E-2</v>
      </c>
      <c r="K111" s="14">
        <v>2.9387030869449701E-2</v>
      </c>
      <c r="L111" s="14">
        <v>0</v>
      </c>
      <c r="Q111" s="14" t="s">
        <v>293</v>
      </c>
    </row>
    <row r="112" spans="1:17" x14ac:dyDescent="0.25">
      <c r="A112" s="14" t="s">
        <v>92</v>
      </c>
      <c r="B112" s="14" t="s">
        <v>66</v>
      </c>
      <c r="C112" s="14" t="s">
        <v>60</v>
      </c>
      <c r="D112" s="14">
        <v>30</v>
      </c>
      <c r="E112" s="14">
        <v>50</v>
      </c>
      <c r="F112" s="14" t="s">
        <v>93</v>
      </c>
      <c r="G112" s="14">
        <v>1</v>
      </c>
      <c r="H112" s="14">
        <v>-1</v>
      </c>
      <c r="I112" s="14">
        <v>2.9387030869449701E-2</v>
      </c>
      <c r="J112" s="14">
        <v>2.9387030869449701E-2</v>
      </c>
      <c r="K112" s="14">
        <v>2.9387030869449701E-2</v>
      </c>
      <c r="L112" s="14">
        <v>0</v>
      </c>
      <c r="Q112" s="14" t="s">
        <v>294</v>
      </c>
    </row>
    <row r="113" spans="1:17" x14ac:dyDescent="0.25">
      <c r="A113" s="14" t="s">
        <v>92</v>
      </c>
      <c r="B113" s="14" t="s">
        <v>66</v>
      </c>
      <c r="C113" s="14" t="s">
        <v>60</v>
      </c>
      <c r="D113" s="14">
        <v>30</v>
      </c>
      <c r="E113" s="14">
        <v>50</v>
      </c>
      <c r="F113" s="14" t="s">
        <v>94</v>
      </c>
      <c r="G113" s="14">
        <v>0</v>
      </c>
      <c r="H113" s="14">
        <v>1</v>
      </c>
      <c r="I113" s="14">
        <v>4.8556440920561099E-2</v>
      </c>
      <c r="J113" s="14">
        <v>4.8556440920561099E-2</v>
      </c>
      <c r="K113" s="14">
        <v>4.8556440920561099E-2</v>
      </c>
      <c r="L113" s="14">
        <v>0</v>
      </c>
      <c r="Q113" s="14" t="s">
        <v>295</v>
      </c>
    </row>
    <row r="114" spans="1:17" x14ac:dyDescent="0.25">
      <c r="A114" s="14" t="s">
        <v>92</v>
      </c>
      <c r="B114" s="14" t="s">
        <v>66</v>
      </c>
      <c r="C114" s="14" t="s">
        <v>60</v>
      </c>
      <c r="D114" s="14">
        <v>30</v>
      </c>
      <c r="E114" s="14">
        <v>50</v>
      </c>
      <c r="F114" s="14" t="s">
        <v>94</v>
      </c>
      <c r="G114" s="14">
        <v>1</v>
      </c>
      <c r="H114" s="14">
        <v>-1</v>
      </c>
      <c r="I114" s="14">
        <v>9.2890582630638693E-2</v>
      </c>
      <c r="J114" s="14">
        <v>9.2890582630638693E-2</v>
      </c>
      <c r="K114" s="14">
        <v>9.2890582630638693E-2</v>
      </c>
      <c r="L114" s="14">
        <v>0</v>
      </c>
      <c r="Q114" s="14" t="s">
        <v>296</v>
      </c>
    </row>
    <row r="115" spans="1:17" x14ac:dyDescent="0.25">
      <c r="A115" s="14" t="s">
        <v>92</v>
      </c>
      <c r="B115" s="14" t="s">
        <v>66</v>
      </c>
      <c r="C115" s="14" t="s">
        <v>60</v>
      </c>
      <c r="D115" s="14">
        <v>30</v>
      </c>
      <c r="E115" s="14">
        <v>98</v>
      </c>
      <c r="F115" s="14" t="s">
        <v>91</v>
      </c>
      <c r="G115" s="14">
        <v>0</v>
      </c>
      <c r="H115" s="14">
        <v>1</v>
      </c>
      <c r="I115" s="14">
        <v>8.6883956734989998E-2</v>
      </c>
      <c r="J115" s="14">
        <v>8.6883956734989998E-2</v>
      </c>
      <c r="K115" s="14">
        <v>8.6883956734989998E-2</v>
      </c>
      <c r="L115" s="14">
        <v>0</v>
      </c>
      <c r="Q115" s="14" t="s">
        <v>297</v>
      </c>
    </row>
    <row r="116" spans="1:17" x14ac:dyDescent="0.25">
      <c r="A116" s="14" t="s">
        <v>92</v>
      </c>
      <c r="B116" s="14" t="s">
        <v>66</v>
      </c>
      <c r="C116" s="14" t="s">
        <v>60</v>
      </c>
      <c r="D116" s="14">
        <v>30</v>
      </c>
      <c r="E116" s="14">
        <v>98</v>
      </c>
      <c r="F116" s="14" t="s">
        <v>91</v>
      </c>
      <c r="G116" s="14">
        <v>1</v>
      </c>
      <c r="H116" s="14">
        <v>-1</v>
      </c>
      <c r="I116" s="14">
        <v>8.6883956734989998E-2</v>
      </c>
      <c r="J116" s="14">
        <v>8.6883956734989998E-2</v>
      </c>
      <c r="K116" s="14">
        <v>8.6883956734989998E-2</v>
      </c>
      <c r="L116" s="14">
        <v>0</v>
      </c>
      <c r="Q116" s="14" t="s">
        <v>298</v>
      </c>
    </row>
    <row r="117" spans="1:17" x14ac:dyDescent="0.25">
      <c r="A117" s="14" t="s">
        <v>92</v>
      </c>
      <c r="B117" s="14" t="s">
        <v>66</v>
      </c>
      <c r="C117" s="14" t="s">
        <v>60</v>
      </c>
      <c r="D117" s="14">
        <v>30</v>
      </c>
      <c r="E117" s="14">
        <v>98</v>
      </c>
      <c r="F117" s="14" t="s">
        <v>65</v>
      </c>
      <c r="G117" s="14">
        <v>0</v>
      </c>
      <c r="H117" s="14">
        <v>-1</v>
      </c>
      <c r="I117" s="14">
        <v>6.9534634571954204E-2</v>
      </c>
      <c r="J117" s="14">
        <v>6.9534634571954204E-2</v>
      </c>
      <c r="K117" s="14">
        <v>6.9534634571954204E-2</v>
      </c>
      <c r="L117" s="14">
        <v>0</v>
      </c>
      <c r="Q117" s="14" t="s">
        <v>299</v>
      </c>
    </row>
    <row r="118" spans="1:17" x14ac:dyDescent="0.25">
      <c r="A118" s="14" t="s">
        <v>92</v>
      </c>
      <c r="B118" s="14" t="s">
        <v>66</v>
      </c>
      <c r="C118" s="14" t="s">
        <v>60</v>
      </c>
      <c r="D118" s="14">
        <v>30</v>
      </c>
      <c r="E118" s="14">
        <v>98</v>
      </c>
      <c r="F118" s="14" t="s">
        <v>65</v>
      </c>
      <c r="G118" s="14">
        <v>1</v>
      </c>
      <c r="H118" s="14">
        <v>-1</v>
      </c>
      <c r="I118" s="14">
        <v>5.6532507878137697E-2</v>
      </c>
      <c r="J118" s="14">
        <v>5.6532507878137697E-2</v>
      </c>
      <c r="K118" s="14">
        <v>5.6532507878137697E-2</v>
      </c>
      <c r="L118" s="14">
        <v>0</v>
      </c>
      <c r="Q118" s="14" t="s">
        <v>300</v>
      </c>
    </row>
    <row r="119" spans="1:17" x14ac:dyDescent="0.25">
      <c r="A119" s="14" t="s">
        <v>92</v>
      </c>
      <c r="B119" s="14" t="s">
        <v>66</v>
      </c>
      <c r="C119" s="14" t="s">
        <v>60</v>
      </c>
      <c r="D119" s="14">
        <v>30</v>
      </c>
      <c r="E119" s="14">
        <v>98</v>
      </c>
      <c r="F119" s="14" t="s">
        <v>92</v>
      </c>
      <c r="G119" s="14">
        <v>0</v>
      </c>
      <c r="H119" s="14">
        <v>1</v>
      </c>
      <c r="I119" s="14">
        <v>4.1477745679890896</v>
      </c>
      <c r="J119" s="14">
        <v>4.1477745679890896</v>
      </c>
      <c r="K119" s="14">
        <v>4.1477745679890896</v>
      </c>
      <c r="L119" s="14">
        <v>0</v>
      </c>
      <c r="Q119" s="14" t="s">
        <v>301</v>
      </c>
    </row>
    <row r="120" spans="1:17" x14ac:dyDescent="0.25">
      <c r="A120" s="14" t="s">
        <v>92</v>
      </c>
      <c r="B120" s="14" t="s">
        <v>66</v>
      </c>
      <c r="C120" s="14" t="s">
        <v>60</v>
      </c>
      <c r="D120" s="14">
        <v>30</v>
      </c>
      <c r="E120" s="14">
        <v>98</v>
      </c>
      <c r="F120" s="14" t="s">
        <v>92</v>
      </c>
      <c r="G120" s="14">
        <v>1</v>
      </c>
      <c r="H120" s="14">
        <v>1</v>
      </c>
      <c r="I120" s="14">
        <v>6.9534634572123097E-2</v>
      </c>
      <c r="J120" s="14">
        <v>6.9534634572123E-2</v>
      </c>
      <c r="K120" s="14">
        <v>6.9534634572123E-2</v>
      </c>
      <c r="L120" s="14">
        <v>0</v>
      </c>
      <c r="Q120" s="14" t="s">
        <v>302</v>
      </c>
    </row>
    <row r="121" spans="1:17" x14ac:dyDescent="0.25">
      <c r="A121" s="14" t="s">
        <v>92</v>
      </c>
      <c r="B121" s="14" t="s">
        <v>66</v>
      </c>
      <c r="C121" s="14" t="s">
        <v>60</v>
      </c>
      <c r="D121" s="14">
        <v>30</v>
      </c>
      <c r="E121" s="14">
        <v>98</v>
      </c>
      <c r="F121" s="14" t="s">
        <v>93</v>
      </c>
      <c r="G121" s="14">
        <v>0</v>
      </c>
      <c r="H121" s="14">
        <v>1</v>
      </c>
      <c r="I121" s="14">
        <v>2.92372990694581E-2</v>
      </c>
      <c r="J121" s="14">
        <v>2.92372990694581E-2</v>
      </c>
      <c r="K121" s="14">
        <v>2.92372990694581E-2</v>
      </c>
      <c r="L121" s="14">
        <v>0</v>
      </c>
      <c r="Q121" s="14" t="s">
        <v>303</v>
      </c>
    </row>
    <row r="122" spans="1:17" x14ac:dyDescent="0.25">
      <c r="A122" s="14" t="s">
        <v>92</v>
      </c>
      <c r="B122" s="14" t="s">
        <v>66</v>
      </c>
      <c r="C122" s="14" t="s">
        <v>60</v>
      </c>
      <c r="D122" s="14">
        <v>30</v>
      </c>
      <c r="E122" s="14">
        <v>98</v>
      </c>
      <c r="F122" s="14" t="s">
        <v>93</v>
      </c>
      <c r="G122" s="14">
        <v>1</v>
      </c>
      <c r="H122" s="14">
        <v>-1</v>
      </c>
      <c r="I122" s="14">
        <v>2.92372990694581E-2</v>
      </c>
      <c r="J122" s="14">
        <v>2.92372990694581E-2</v>
      </c>
      <c r="K122" s="14">
        <v>2.92372990694581E-2</v>
      </c>
      <c r="L122" s="14">
        <v>0</v>
      </c>
      <c r="Q122" s="14" t="s">
        <v>304</v>
      </c>
    </row>
    <row r="123" spans="1:17" x14ac:dyDescent="0.25">
      <c r="A123" s="14" t="s">
        <v>92</v>
      </c>
      <c r="B123" s="14" t="s">
        <v>66</v>
      </c>
      <c r="C123" s="14" t="s">
        <v>60</v>
      </c>
      <c r="D123" s="14">
        <v>30</v>
      </c>
      <c r="E123" s="14">
        <v>98</v>
      </c>
      <c r="F123" s="14" t="s">
        <v>94</v>
      </c>
      <c r="G123" s="14">
        <v>0</v>
      </c>
      <c r="H123" s="14">
        <v>1</v>
      </c>
      <c r="I123" s="14">
        <v>5.6532507878142103E-2</v>
      </c>
      <c r="J123" s="14">
        <v>5.6532507878142103E-2</v>
      </c>
      <c r="K123" s="14">
        <v>5.6532507878142103E-2</v>
      </c>
      <c r="L123" s="14">
        <v>0</v>
      </c>
      <c r="Q123" s="14" t="s">
        <v>305</v>
      </c>
    </row>
    <row r="124" spans="1:17" x14ac:dyDescent="0.25">
      <c r="A124" s="14" t="s">
        <v>92</v>
      </c>
      <c r="B124" s="14" t="s">
        <v>66</v>
      </c>
      <c r="C124" s="14" t="s">
        <v>60</v>
      </c>
      <c r="D124" s="14">
        <v>30</v>
      </c>
      <c r="E124" s="14">
        <v>98</v>
      </c>
      <c r="F124" s="14" t="s">
        <v>94</v>
      </c>
      <c r="G124" s="14">
        <v>1</v>
      </c>
      <c r="H124" s="14">
        <v>-1</v>
      </c>
      <c r="I124" s="14">
        <v>0.108149145506011</v>
      </c>
      <c r="J124" s="14">
        <v>0.108149145506011</v>
      </c>
      <c r="K124" s="14">
        <v>0.108149145506011</v>
      </c>
      <c r="L124" s="14">
        <v>0</v>
      </c>
      <c r="Q124" s="14" t="s">
        <v>306</v>
      </c>
    </row>
    <row r="125" spans="1:17" x14ac:dyDescent="0.25">
      <c r="A125" s="14" t="s">
        <v>92</v>
      </c>
      <c r="B125" s="14" t="s">
        <v>66</v>
      </c>
      <c r="C125" s="14" t="s">
        <v>67</v>
      </c>
      <c r="D125" s="14">
        <v>0</v>
      </c>
      <c r="E125" s="14">
        <v>2</v>
      </c>
      <c r="F125" s="14" t="s">
        <v>91</v>
      </c>
      <c r="G125" s="14">
        <v>0</v>
      </c>
      <c r="H125" s="14">
        <v>1</v>
      </c>
      <c r="I125" s="14">
        <v>3.25727735749567E-2</v>
      </c>
      <c r="J125" s="14">
        <v>7.9492237730066098E-2</v>
      </c>
      <c r="K125" s="14">
        <v>7.8474666209828403E-2</v>
      </c>
      <c r="L125" s="14">
        <v>0</v>
      </c>
      <c r="Q125" s="14" t="s">
        <v>307</v>
      </c>
    </row>
    <row r="126" spans="1:17" x14ac:dyDescent="0.25">
      <c r="A126" s="14" t="s">
        <v>92</v>
      </c>
      <c r="B126" s="14" t="s">
        <v>66</v>
      </c>
      <c r="C126" s="14" t="s">
        <v>67</v>
      </c>
      <c r="D126" s="14">
        <v>0</v>
      </c>
      <c r="E126" s="14">
        <v>2</v>
      </c>
      <c r="F126" s="14" t="s">
        <v>91</v>
      </c>
      <c r="G126" s="14">
        <v>1</v>
      </c>
      <c r="H126" s="14">
        <v>-1</v>
      </c>
      <c r="I126" s="14">
        <v>3.25727735749567E-2</v>
      </c>
      <c r="J126" s="14">
        <v>7.9492237730066098E-2</v>
      </c>
      <c r="K126" s="14">
        <v>7.8474666209828403E-2</v>
      </c>
      <c r="L126" s="14">
        <v>0</v>
      </c>
      <c r="Q126" s="14" t="s">
        <v>308</v>
      </c>
    </row>
    <row r="127" spans="1:17" x14ac:dyDescent="0.25">
      <c r="A127" s="14" t="s">
        <v>92</v>
      </c>
      <c r="B127" s="14" t="s">
        <v>66</v>
      </c>
      <c r="C127" s="14" t="s">
        <v>67</v>
      </c>
      <c r="D127" s="14">
        <v>0</v>
      </c>
      <c r="E127" s="14">
        <v>2</v>
      </c>
      <c r="F127" s="14" t="s">
        <v>65</v>
      </c>
      <c r="G127" s="14">
        <v>0</v>
      </c>
      <c r="H127" s="14">
        <v>-1</v>
      </c>
      <c r="I127" s="14">
        <v>0.18880261287368599</v>
      </c>
      <c r="J127" s="14">
        <v>0.118772556649283</v>
      </c>
      <c r="K127" s="14">
        <v>7.2930827071564897E-2</v>
      </c>
      <c r="L127" s="14">
        <v>0</v>
      </c>
      <c r="Q127" s="14" t="s">
        <v>309</v>
      </c>
    </row>
    <row r="128" spans="1:17" x14ac:dyDescent="0.25">
      <c r="A128" s="14" t="s">
        <v>92</v>
      </c>
      <c r="B128" s="14" t="s">
        <v>66</v>
      </c>
      <c r="C128" s="14" t="s">
        <v>67</v>
      </c>
      <c r="D128" s="14">
        <v>0</v>
      </c>
      <c r="E128" s="14">
        <v>2</v>
      </c>
      <c r="F128" s="14" t="s">
        <v>65</v>
      </c>
      <c r="G128" s="14">
        <v>1</v>
      </c>
      <c r="H128" s="14">
        <v>1</v>
      </c>
      <c r="I128" s="14">
        <v>0.15460681773917601</v>
      </c>
      <c r="J128" s="14">
        <v>0.111060038851812</v>
      </c>
      <c r="K128" s="14">
        <v>9.7421332712587294E-2</v>
      </c>
      <c r="L128" s="14">
        <v>0</v>
      </c>
      <c r="Q128" s="14" t="s">
        <v>310</v>
      </c>
    </row>
    <row r="129" spans="1:17" x14ac:dyDescent="0.25">
      <c r="A129" s="14" t="s">
        <v>92</v>
      </c>
      <c r="B129" s="14" t="s">
        <v>66</v>
      </c>
      <c r="C129" s="14" t="s">
        <v>67</v>
      </c>
      <c r="D129" s="14">
        <v>0</v>
      </c>
      <c r="E129" s="14">
        <v>2</v>
      </c>
      <c r="F129" s="14" t="s">
        <v>92</v>
      </c>
      <c r="G129" s="14">
        <v>0</v>
      </c>
      <c r="H129" s="14">
        <v>1</v>
      </c>
      <c r="I129" s="14">
        <v>51.057323477799699</v>
      </c>
      <c r="J129" s="14">
        <v>0.118772556649182</v>
      </c>
      <c r="K129" s="14">
        <v>7.2930827071518406E-2</v>
      </c>
      <c r="L129" s="14">
        <v>51.246071206102798</v>
      </c>
      <c r="Q129" s="14" t="s">
        <v>311</v>
      </c>
    </row>
    <row r="130" spans="1:17" x14ac:dyDescent="0.25">
      <c r="A130" s="14" t="s">
        <v>92</v>
      </c>
      <c r="B130" s="14" t="s">
        <v>66</v>
      </c>
      <c r="C130" s="14" t="s">
        <v>67</v>
      </c>
      <c r="D130" s="14">
        <v>0</v>
      </c>
      <c r="E130" s="14">
        <v>2</v>
      </c>
      <c r="F130" s="14" t="s">
        <v>92</v>
      </c>
      <c r="G130" s="14">
        <v>1</v>
      </c>
      <c r="H130" s="14">
        <v>1</v>
      </c>
      <c r="I130" s="14">
        <v>0.188802612873683</v>
      </c>
      <c r="J130" s="14">
        <v>0.11877255664928101</v>
      </c>
      <c r="K130" s="14">
        <v>7.2930827071561094E-2</v>
      </c>
      <c r="L130" s="14">
        <v>0</v>
      </c>
      <c r="Q130" s="14" t="s">
        <v>312</v>
      </c>
    </row>
    <row r="131" spans="1:17" x14ac:dyDescent="0.25">
      <c r="A131" s="14" t="s">
        <v>92</v>
      </c>
      <c r="B131" s="14" t="s">
        <v>66</v>
      </c>
      <c r="C131" s="14" t="s">
        <v>67</v>
      </c>
      <c r="D131" s="14">
        <v>0</v>
      </c>
      <c r="E131" s="14">
        <v>2</v>
      </c>
      <c r="F131" s="14" t="s">
        <v>93</v>
      </c>
      <c r="G131" s="14">
        <v>0</v>
      </c>
      <c r="H131" s="14">
        <v>1</v>
      </c>
      <c r="I131" s="14">
        <v>1.09610560835428E-2</v>
      </c>
      <c r="J131" s="14">
        <v>2.6749913511682301E-2</v>
      </c>
      <c r="K131" s="14">
        <v>2.64074907678311E-2</v>
      </c>
      <c r="L131" s="14">
        <v>0</v>
      </c>
      <c r="Q131" s="14" t="s">
        <v>313</v>
      </c>
    </row>
    <row r="132" spans="1:17" x14ac:dyDescent="0.25">
      <c r="A132" s="14" t="s">
        <v>92</v>
      </c>
      <c r="B132" s="14" t="s">
        <v>66</v>
      </c>
      <c r="C132" s="14" t="s">
        <v>67</v>
      </c>
      <c r="D132" s="14">
        <v>0</v>
      </c>
      <c r="E132" s="14">
        <v>2</v>
      </c>
      <c r="F132" s="14" t="s">
        <v>93</v>
      </c>
      <c r="G132" s="14">
        <v>1</v>
      </c>
      <c r="H132" s="14">
        <v>-1</v>
      </c>
      <c r="I132" s="14">
        <v>1.09610560835428E-2</v>
      </c>
      <c r="J132" s="14">
        <v>2.6749913511682301E-2</v>
      </c>
      <c r="K132" s="14">
        <v>2.64074907678311E-2</v>
      </c>
      <c r="L132" s="14">
        <v>0</v>
      </c>
      <c r="Q132" s="14" t="s">
        <v>314</v>
      </c>
    </row>
    <row r="133" spans="1:17" x14ac:dyDescent="0.25">
      <c r="A133" s="14" t="s">
        <v>92</v>
      </c>
      <c r="B133" s="14" t="s">
        <v>66</v>
      </c>
      <c r="C133" s="14" t="s">
        <v>67</v>
      </c>
      <c r="D133" s="14">
        <v>0</v>
      </c>
      <c r="E133" s="14">
        <v>2</v>
      </c>
      <c r="F133" s="14" t="s">
        <v>94</v>
      </c>
      <c r="G133" s="14">
        <v>0</v>
      </c>
      <c r="H133" s="14">
        <v>-1</v>
      </c>
      <c r="I133" s="14">
        <v>0.15460681773916299</v>
      </c>
      <c r="J133" s="14">
        <v>0.11106003885181399</v>
      </c>
      <c r="K133" s="14">
        <v>9.7421332712589501E-2</v>
      </c>
      <c r="L133" s="14">
        <v>0</v>
      </c>
      <c r="Q133" s="14" t="s">
        <v>315</v>
      </c>
    </row>
    <row r="134" spans="1:17" x14ac:dyDescent="0.25">
      <c r="A134" s="14" t="s">
        <v>92</v>
      </c>
      <c r="B134" s="14" t="s">
        <v>66</v>
      </c>
      <c r="C134" s="14" t="s">
        <v>67</v>
      </c>
      <c r="D134" s="14">
        <v>0</v>
      </c>
      <c r="E134" s="14">
        <v>2</v>
      </c>
      <c r="F134" s="14" t="s">
        <v>94</v>
      </c>
      <c r="G134" s="14">
        <v>1</v>
      </c>
      <c r="H134" s="14">
        <v>1</v>
      </c>
      <c r="I134" s="14">
        <v>0.257738472620546</v>
      </c>
      <c r="J134" s="14">
        <v>0.277191758376371</v>
      </c>
      <c r="K134" s="14">
        <v>0.155209138703996</v>
      </c>
      <c r="L134" s="14">
        <v>0</v>
      </c>
      <c r="Q134" s="14" t="s">
        <v>316</v>
      </c>
    </row>
    <row r="135" spans="1:17" x14ac:dyDescent="0.25">
      <c r="A135" s="14" t="s">
        <v>92</v>
      </c>
      <c r="B135" s="14" t="s">
        <v>66</v>
      </c>
      <c r="C135" s="14" t="s">
        <v>67</v>
      </c>
      <c r="D135" s="14">
        <v>0</v>
      </c>
      <c r="E135" s="14">
        <v>50</v>
      </c>
      <c r="F135" s="14" t="s">
        <v>91</v>
      </c>
      <c r="G135" s="14">
        <v>0</v>
      </c>
      <c r="H135" s="14">
        <v>1</v>
      </c>
      <c r="I135" s="14">
        <v>6.2449248731302698E-2</v>
      </c>
      <c r="J135" s="14">
        <v>8.2260593253969602E-2</v>
      </c>
      <c r="K135" s="14">
        <v>8.4438831068864795E-2</v>
      </c>
      <c r="L135" s="14">
        <v>0</v>
      </c>
      <c r="Q135" s="14" t="s">
        <v>317</v>
      </c>
    </row>
    <row r="136" spans="1:17" x14ac:dyDescent="0.25">
      <c r="A136" s="14" t="s">
        <v>92</v>
      </c>
      <c r="B136" s="14" t="s">
        <v>66</v>
      </c>
      <c r="C136" s="14" t="s">
        <v>67</v>
      </c>
      <c r="D136" s="14">
        <v>0</v>
      </c>
      <c r="E136" s="14">
        <v>50</v>
      </c>
      <c r="F136" s="14" t="s">
        <v>91</v>
      </c>
      <c r="G136" s="14">
        <v>1</v>
      </c>
      <c r="H136" s="14">
        <v>-1</v>
      </c>
      <c r="I136" s="14">
        <v>6.2449248731302698E-2</v>
      </c>
      <c r="J136" s="14">
        <v>8.2260593253969602E-2</v>
      </c>
      <c r="K136" s="14">
        <v>8.4438831068864795E-2</v>
      </c>
      <c r="L136" s="14">
        <v>0</v>
      </c>
      <c r="Q136" s="14" t="s">
        <v>318</v>
      </c>
    </row>
    <row r="137" spans="1:17" x14ac:dyDescent="0.25">
      <c r="A137" s="14" t="s">
        <v>92</v>
      </c>
      <c r="B137" s="14" t="s">
        <v>66</v>
      </c>
      <c r="C137" s="14" t="s">
        <v>67</v>
      </c>
      <c r="D137" s="14">
        <v>0</v>
      </c>
      <c r="E137" s="14">
        <v>50</v>
      </c>
      <c r="F137" s="14" t="s">
        <v>65</v>
      </c>
      <c r="G137" s="14">
        <v>0</v>
      </c>
      <c r="H137" s="14">
        <v>-1</v>
      </c>
      <c r="I137" s="14">
        <v>0.189265155606199</v>
      </c>
      <c r="J137" s="14">
        <v>0.119529336049487</v>
      </c>
      <c r="K137" s="14">
        <v>7.2530822902445002E-2</v>
      </c>
      <c r="L137" s="14">
        <v>0</v>
      </c>
      <c r="Q137" s="14" t="s">
        <v>319</v>
      </c>
    </row>
    <row r="138" spans="1:17" x14ac:dyDescent="0.25">
      <c r="A138" s="14" t="s">
        <v>92</v>
      </c>
      <c r="B138" s="14" t="s">
        <v>66</v>
      </c>
      <c r="C138" s="14" t="s">
        <v>67</v>
      </c>
      <c r="D138" s="14">
        <v>0</v>
      </c>
      <c r="E138" s="14">
        <v>50</v>
      </c>
      <c r="F138" s="14" t="s">
        <v>65</v>
      </c>
      <c r="G138" s="14">
        <v>1</v>
      </c>
      <c r="H138" s="14">
        <v>1</v>
      </c>
      <c r="I138" s="14">
        <v>0.155626291276384</v>
      </c>
      <c r="J138" s="14">
        <v>0.110964715062463</v>
      </c>
      <c r="K138" s="14">
        <v>9.8509856507626198E-2</v>
      </c>
      <c r="L138" s="14">
        <v>0</v>
      </c>
      <c r="Q138" s="14" t="s">
        <v>320</v>
      </c>
    </row>
    <row r="139" spans="1:17" x14ac:dyDescent="0.25">
      <c r="A139" s="14" t="s">
        <v>92</v>
      </c>
      <c r="B139" s="14" t="s">
        <v>66</v>
      </c>
      <c r="C139" s="14" t="s">
        <v>67</v>
      </c>
      <c r="D139" s="14">
        <v>0</v>
      </c>
      <c r="E139" s="14">
        <v>50</v>
      </c>
      <c r="F139" s="14" t="s">
        <v>92</v>
      </c>
      <c r="G139" s="14">
        <v>0</v>
      </c>
      <c r="H139" s="14">
        <v>1</v>
      </c>
      <c r="I139" s="14">
        <v>24.300411901439801</v>
      </c>
      <c r="J139" s="14">
        <v>0.11952933604949301</v>
      </c>
      <c r="K139" s="14">
        <v>7.2530822902453093E-2</v>
      </c>
      <c r="L139" s="14">
        <v>24.489191312736601</v>
      </c>
      <c r="Q139" s="14" t="s">
        <v>321</v>
      </c>
    </row>
    <row r="140" spans="1:17" x14ac:dyDescent="0.25">
      <c r="A140" s="14" t="s">
        <v>92</v>
      </c>
      <c r="B140" s="14" t="s">
        <v>66</v>
      </c>
      <c r="C140" s="14" t="s">
        <v>67</v>
      </c>
      <c r="D140" s="14">
        <v>0</v>
      </c>
      <c r="E140" s="14">
        <v>50</v>
      </c>
      <c r="F140" s="14" t="s">
        <v>92</v>
      </c>
      <c r="G140" s="14">
        <v>1</v>
      </c>
      <c r="H140" s="14">
        <v>1</v>
      </c>
      <c r="I140" s="14">
        <v>0.18926515560620799</v>
      </c>
      <c r="J140" s="14">
        <v>0.11952933604949099</v>
      </c>
      <c r="K140" s="14">
        <v>7.2530822902452302E-2</v>
      </c>
      <c r="L140" s="14">
        <v>0</v>
      </c>
      <c r="Q140" s="14" t="s">
        <v>322</v>
      </c>
    </row>
    <row r="141" spans="1:17" x14ac:dyDescent="0.25">
      <c r="A141" s="14" t="s">
        <v>92</v>
      </c>
      <c r="B141" s="14" t="s">
        <v>66</v>
      </c>
      <c r="C141" s="14" t="s">
        <v>67</v>
      </c>
      <c r="D141" s="14">
        <v>0</v>
      </c>
      <c r="E141" s="14">
        <v>50</v>
      </c>
      <c r="F141" s="14" t="s">
        <v>93</v>
      </c>
      <c r="G141" s="14">
        <v>0</v>
      </c>
      <c r="H141" s="14">
        <v>1</v>
      </c>
      <c r="I141" s="14">
        <v>2.1014781444506501E-2</v>
      </c>
      <c r="J141" s="14">
        <v>2.7681492153184301E-2</v>
      </c>
      <c r="K141" s="14">
        <v>2.8414490428488901E-2</v>
      </c>
      <c r="L141" s="14">
        <v>0</v>
      </c>
      <c r="Q141" s="14" t="s">
        <v>323</v>
      </c>
    </row>
    <row r="142" spans="1:17" x14ac:dyDescent="0.25">
      <c r="A142" s="14" t="s">
        <v>92</v>
      </c>
      <c r="B142" s="14" t="s">
        <v>66</v>
      </c>
      <c r="C142" s="14" t="s">
        <v>67</v>
      </c>
      <c r="D142" s="14">
        <v>0</v>
      </c>
      <c r="E142" s="14">
        <v>50</v>
      </c>
      <c r="F142" s="14" t="s">
        <v>93</v>
      </c>
      <c r="G142" s="14">
        <v>1</v>
      </c>
      <c r="H142" s="14">
        <v>-1</v>
      </c>
      <c r="I142" s="14">
        <v>2.1014781444506501E-2</v>
      </c>
      <c r="J142" s="14">
        <v>2.7681492153184301E-2</v>
      </c>
      <c r="K142" s="14">
        <v>2.8414490428488901E-2</v>
      </c>
      <c r="L142" s="14">
        <v>0</v>
      </c>
      <c r="Q142" s="14" t="s">
        <v>324</v>
      </c>
    </row>
    <row r="143" spans="1:17" x14ac:dyDescent="0.25">
      <c r="A143" s="14" t="s">
        <v>92</v>
      </c>
      <c r="B143" s="14" t="s">
        <v>66</v>
      </c>
      <c r="C143" s="14" t="s">
        <v>67</v>
      </c>
      <c r="D143" s="14">
        <v>0</v>
      </c>
      <c r="E143" s="14">
        <v>50</v>
      </c>
      <c r="F143" s="14" t="s">
        <v>94</v>
      </c>
      <c r="G143" s="14">
        <v>0</v>
      </c>
      <c r="H143" s="14">
        <v>-1</v>
      </c>
      <c r="I143" s="14">
        <v>0.15562629127637601</v>
      </c>
      <c r="J143" s="14">
        <v>0.110964715062456</v>
      </c>
      <c r="K143" s="14">
        <v>9.8509856507628696E-2</v>
      </c>
      <c r="L143" s="14">
        <v>0</v>
      </c>
      <c r="Q143" s="14" t="s">
        <v>325</v>
      </c>
    </row>
    <row r="144" spans="1:17" x14ac:dyDescent="0.25">
      <c r="A144" s="14" t="s">
        <v>92</v>
      </c>
      <c r="B144" s="14" t="s">
        <v>66</v>
      </c>
      <c r="C144" s="14" t="s">
        <v>67</v>
      </c>
      <c r="D144" s="14">
        <v>0</v>
      </c>
      <c r="E144" s="14">
        <v>50</v>
      </c>
      <c r="F144" s="14" t="s">
        <v>94</v>
      </c>
      <c r="G144" s="14">
        <v>1</v>
      </c>
      <c r="H144" s="14">
        <v>1</v>
      </c>
      <c r="I144" s="14">
        <v>0.260282438611314</v>
      </c>
      <c r="J144" s="14">
        <v>0.27801998152617502</v>
      </c>
      <c r="K144" s="14">
        <v>0.155475940360009</v>
      </c>
      <c r="L144" s="14">
        <v>0</v>
      </c>
      <c r="Q144" s="14" t="s">
        <v>326</v>
      </c>
    </row>
    <row r="145" spans="1:17" x14ac:dyDescent="0.25">
      <c r="A145" s="14" t="s">
        <v>92</v>
      </c>
      <c r="B145" s="14" t="s">
        <v>66</v>
      </c>
      <c r="C145" s="14" t="s">
        <v>67</v>
      </c>
      <c r="D145" s="14">
        <v>0</v>
      </c>
      <c r="E145" s="14">
        <v>98</v>
      </c>
      <c r="F145" s="14" t="s">
        <v>91</v>
      </c>
      <c r="G145" s="14">
        <v>0</v>
      </c>
      <c r="H145" s="14">
        <v>1</v>
      </c>
      <c r="I145" s="14">
        <v>7.1792534705809902E-2</v>
      </c>
      <c r="J145" s="14">
        <v>8.4257943409574501E-2</v>
      </c>
      <c r="K145" s="14">
        <v>8.6165000446916495E-2</v>
      </c>
      <c r="L145" s="14">
        <v>0</v>
      </c>
      <c r="Q145" s="14" t="s">
        <v>327</v>
      </c>
    </row>
    <row r="146" spans="1:17" x14ac:dyDescent="0.25">
      <c r="A146" s="14" t="s">
        <v>92</v>
      </c>
      <c r="B146" s="14" t="s">
        <v>66</v>
      </c>
      <c r="C146" s="14" t="s">
        <v>67</v>
      </c>
      <c r="D146" s="14">
        <v>0</v>
      </c>
      <c r="E146" s="14">
        <v>98</v>
      </c>
      <c r="F146" s="14" t="s">
        <v>91</v>
      </c>
      <c r="G146" s="14">
        <v>1</v>
      </c>
      <c r="H146" s="14">
        <v>-1</v>
      </c>
      <c r="I146" s="14">
        <v>7.1792534705809902E-2</v>
      </c>
      <c r="J146" s="14">
        <v>8.4257943409574501E-2</v>
      </c>
      <c r="K146" s="14">
        <v>8.6165000446916495E-2</v>
      </c>
      <c r="L146" s="14">
        <v>0</v>
      </c>
      <c r="Q146" s="14" t="s">
        <v>328</v>
      </c>
    </row>
    <row r="147" spans="1:17" x14ac:dyDescent="0.25">
      <c r="A147" s="14" t="s">
        <v>92</v>
      </c>
      <c r="B147" s="14" t="s">
        <v>66</v>
      </c>
      <c r="C147" s="14" t="s">
        <v>67</v>
      </c>
      <c r="D147" s="14">
        <v>0</v>
      </c>
      <c r="E147" s="14">
        <v>98</v>
      </c>
      <c r="F147" s="14" t="s">
        <v>65</v>
      </c>
      <c r="G147" s="14">
        <v>0</v>
      </c>
      <c r="H147" s="14">
        <v>-1</v>
      </c>
      <c r="I147" s="14">
        <v>0.18972627106661499</v>
      </c>
      <c r="J147" s="14">
        <v>0.119915146522551</v>
      </c>
      <c r="K147" s="14">
        <v>7.2545709138155598E-2</v>
      </c>
      <c r="L147" s="14">
        <v>0</v>
      </c>
      <c r="Q147" s="14" t="s">
        <v>329</v>
      </c>
    </row>
    <row r="148" spans="1:17" x14ac:dyDescent="0.25">
      <c r="A148" s="14" t="s">
        <v>92</v>
      </c>
      <c r="B148" s="14" t="s">
        <v>66</v>
      </c>
      <c r="C148" s="14" t="s">
        <v>67</v>
      </c>
      <c r="D148" s="14">
        <v>0</v>
      </c>
      <c r="E148" s="14">
        <v>98</v>
      </c>
      <c r="F148" s="14" t="s">
        <v>65</v>
      </c>
      <c r="G148" s="14">
        <v>1</v>
      </c>
      <c r="H148" s="14">
        <v>1</v>
      </c>
      <c r="I148" s="14">
        <v>0.156403694531381</v>
      </c>
      <c r="J148" s="14">
        <v>0.111180360043334</v>
      </c>
      <c r="K148" s="14">
        <v>9.9027839265408105E-2</v>
      </c>
      <c r="L148" s="14">
        <v>0</v>
      </c>
      <c r="Q148" s="14" t="s">
        <v>330</v>
      </c>
    </row>
    <row r="149" spans="1:17" x14ac:dyDescent="0.25">
      <c r="A149" s="14" t="s">
        <v>92</v>
      </c>
      <c r="B149" s="14" t="s">
        <v>66</v>
      </c>
      <c r="C149" s="14" t="s">
        <v>67</v>
      </c>
      <c r="D149" s="14">
        <v>0</v>
      </c>
      <c r="E149" s="14">
        <v>98</v>
      </c>
      <c r="F149" s="14" t="s">
        <v>92</v>
      </c>
      <c r="G149" s="14">
        <v>0</v>
      </c>
      <c r="H149" s="14">
        <v>1</v>
      </c>
      <c r="I149" s="14">
        <v>15.907797687653201</v>
      </c>
      <c r="J149" s="14">
        <v>0.119915146522566</v>
      </c>
      <c r="K149" s="14">
        <v>7.2545709138146106E-2</v>
      </c>
      <c r="L149" s="14">
        <v>16.0965514443552</v>
      </c>
      <c r="Q149" s="14" t="s">
        <v>331</v>
      </c>
    </row>
    <row r="150" spans="1:17" x14ac:dyDescent="0.25">
      <c r="A150" s="14" t="s">
        <v>92</v>
      </c>
      <c r="B150" s="14" t="s">
        <v>66</v>
      </c>
      <c r="C150" s="14" t="s">
        <v>67</v>
      </c>
      <c r="D150" s="14">
        <v>0</v>
      </c>
      <c r="E150" s="14">
        <v>98</v>
      </c>
      <c r="F150" s="14" t="s">
        <v>92</v>
      </c>
      <c r="G150" s="14">
        <v>1</v>
      </c>
      <c r="H150" s="14">
        <v>1</v>
      </c>
      <c r="I150" s="14">
        <v>0.18972627106675499</v>
      </c>
      <c r="J150" s="14">
        <v>0.11991514652261399</v>
      </c>
      <c r="K150" s="14">
        <v>7.2545709138281803E-2</v>
      </c>
      <c r="L150" s="14">
        <v>0</v>
      </c>
      <c r="Q150" s="14" t="s">
        <v>332</v>
      </c>
    </row>
    <row r="151" spans="1:17" x14ac:dyDescent="0.25">
      <c r="A151" s="14" t="s">
        <v>92</v>
      </c>
      <c r="B151" s="14" t="s">
        <v>66</v>
      </c>
      <c r="C151" s="14" t="s">
        <v>67</v>
      </c>
      <c r="D151" s="14">
        <v>0</v>
      </c>
      <c r="E151" s="14">
        <v>98</v>
      </c>
      <c r="F151" s="14" t="s">
        <v>93</v>
      </c>
      <c r="G151" s="14">
        <v>0</v>
      </c>
      <c r="H151" s="14">
        <v>1</v>
      </c>
      <c r="I151" s="14">
        <v>2.4158888326759199E-2</v>
      </c>
      <c r="J151" s="14">
        <v>2.8353619966417901E-2</v>
      </c>
      <c r="K151" s="14">
        <v>2.8995363264473901E-2</v>
      </c>
      <c r="L151" s="14">
        <v>0</v>
      </c>
      <c r="Q151" s="14" t="s">
        <v>333</v>
      </c>
    </row>
    <row r="152" spans="1:17" x14ac:dyDescent="0.25">
      <c r="A152" s="14" t="s">
        <v>92</v>
      </c>
      <c r="B152" s="14" t="s">
        <v>66</v>
      </c>
      <c r="C152" s="14" t="s">
        <v>67</v>
      </c>
      <c r="D152" s="14">
        <v>0</v>
      </c>
      <c r="E152" s="14">
        <v>98</v>
      </c>
      <c r="F152" s="14" t="s">
        <v>93</v>
      </c>
      <c r="G152" s="14">
        <v>1</v>
      </c>
      <c r="H152" s="14">
        <v>-1</v>
      </c>
      <c r="I152" s="14">
        <v>2.4158888326759199E-2</v>
      </c>
      <c r="J152" s="14">
        <v>2.8353619966417901E-2</v>
      </c>
      <c r="K152" s="14">
        <v>2.8995363264473901E-2</v>
      </c>
      <c r="L152" s="14">
        <v>0</v>
      </c>
      <c r="Q152" s="14" t="s">
        <v>334</v>
      </c>
    </row>
    <row r="153" spans="1:17" x14ac:dyDescent="0.25">
      <c r="A153" s="14" t="s">
        <v>92</v>
      </c>
      <c r="B153" s="14" t="s">
        <v>66</v>
      </c>
      <c r="C153" s="14" t="s">
        <v>67</v>
      </c>
      <c r="D153" s="14">
        <v>0</v>
      </c>
      <c r="E153" s="14">
        <v>98</v>
      </c>
      <c r="F153" s="14" t="s">
        <v>94</v>
      </c>
      <c r="G153" s="14">
        <v>0</v>
      </c>
      <c r="H153" s="14">
        <v>-1</v>
      </c>
      <c r="I153" s="14">
        <v>0.15640369453137501</v>
      </c>
      <c r="J153" s="14">
        <v>0.111180360043339</v>
      </c>
      <c r="K153" s="14">
        <v>9.9027839265420206E-2</v>
      </c>
      <c r="L153" s="14">
        <v>0</v>
      </c>
      <c r="Q153" s="14" t="s">
        <v>335</v>
      </c>
    </row>
    <row r="154" spans="1:17" x14ac:dyDescent="0.25">
      <c r="A154" s="14" t="s">
        <v>92</v>
      </c>
      <c r="B154" s="14" t="s">
        <v>66</v>
      </c>
      <c r="C154" s="14" t="s">
        <v>67</v>
      </c>
      <c r="D154" s="14">
        <v>0</v>
      </c>
      <c r="E154" s="14">
        <v>98</v>
      </c>
      <c r="F154" s="14" t="s">
        <v>94</v>
      </c>
      <c r="G154" s="14">
        <v>1</v>
      </c>
      <c r="H154" s="14">
        <v>1</v>
      </c>
      <c r="I154" s="14">
        <v>0.26178233273722401</v>
      </c>
      <c r="J154" s="14">
        <v>0.27906809469065202</v>
      </c>
      <c r="K154" s="14">
        <v>0.15570283925582801</v>
      </c>
      <c r="L154" s="14">
        <v>0</v>
      </c>
      <c r="Q154" s="14" t="s">
        <v>336</v>
      </c>
    </row>
    <row r="155" spans="1:17" x14ac:dyDescent="0.25">
      <c r="A155" s="14" t="s">
        <v>92</v>
      </c>
      <c r="B155" s="14" t="s">
        <v>66</v>
      </c>
      <c r="C155" s="14" t="s">
        <v>67</v>
      </c>
      <c r="D155" s="14">
        <v>5</v>
      </c>
      <c r="E155" s="14">
        <v>2</v>
      </c>
      <c r="F155" s="14" t="s">
        <v>91</v>
      </c>
      <c r="G155" s="14">
        <v>0</v>
      </c>
      <c r="H155" s="14">
        <v>1</v>
      </c>
      <c r="I155" s="14">
        <v>7.7483276378801605E-2</v>
      </c>
      <c r="J155" s="14">
        <v>7.6419921675004401E-2</v>
      </c>
      <c r="K155" s="14">
        <v>9.5502835261597405E-2</v>
      </c>
      <c r="L155" s="14">
        <v>0</v>
      </c>
      <c r="Q155" s="14" t="s">
        <v>337</v>
      </c>
    </row>
    <row r="156" spans="1:17" x14ac:dyDescent="0.25">
      <c r="A156" s="14" t="s">
        <v>92</v>
      </c>
      <c r="B156" s="14" t="s">
        <v>66</v>
      </c>
      <c r="C156" s="14" t="s">
        <v>67</v>
      </c>
      <c r="D156" s="14">
        <v>5</v>
      </c>
      <c r="E156" s="14">
        <v>2</v>
      </c>
      <c r="F156" s="14" t="s">
        <v>91</v>
      </c>
      <c r="G156" s="14">
        <v>1</v>
      </c>
      <c r="H156" s="14">
        <v>-1</v>
      </c>
      <c r="I156" s="14">
        <v>7.7483276378801605E-2</v>
      </c>
      <c r="J156" s="14">
        <v>7.6419921675004401E-2</v>
      </c>
      <c r="K156" s="14">
        <v>9.5502835261597405E-2</v>
      </c>
      <c r="L156" s="14">
        <v>0</v>
      </c>
      <c r="Q156" s="14" t="s">
        <v>338</v>
      </c>
    </row>
    <row r="157" spans="1:17" x14ac:dyDescent="0.25">
      <c r="A157" s="14" t="s">
        <v>92</v>
      </c>
      <c r="B157" s="14" t="s">
        <v>66</v>
      </c>
      <c r="C157" s="14" t="s">
        <v>67</v>
      </c>
      <c r="D157" s="14">
        <v>5</v>
      </c>
      <c r="E157" s="14">
        <v>2</v>
      </c>
      <c r="F157" s="14" t="s">
        <v>65</v>
      </c>
      <c r="G157" s="14">
        <v>0</v>
      </c>
      <c r="H157" s="14">
        <v>-1</v>
      </c>
      <c r="I157" s="14">
        <v>8.7325615303100207E-2</v>
      </c>
      <c r="J157" s="14">
        <v>9.01008850793555E-2</v>
      </c>
      <c r="K157" s="14">
        <v>2.3236740524889599E-2</v>
      </c>
      <c r="L157" s="14">
        <v>0</v>
      </c>
      <c r="Q157" s="14" t="s">
        <v>339</v>
      </c>
    </row>
    <row r="158" spans="1:17" x14ac:dyDescent="0.25">
      <c r="A158" s="14" t="s">
        <v>92</v>
      </c>
      <c r="B158" s="14" t="s">
        <v>66</v>
      </c>
      <c r="C158" s="14" t="s">
        <v>67</v>
      </c>
      <c r="D158" s="14">
        <v>5</v>
      </c>
      <c r="E158" s="14">
        <v>2</v>
      </c>
      <c r="F158" s="14" t="s">
        <v>65</v>
      </c>
      <c r="G158" s="14">
        <v>1</v>
      </c>
      <c r="H158" s="14">
        <v>-1</v>
      </c>
      <c r="I158" s="14">
        <v>7.3895219939911494E-2</v>
      </c>
      <c r="J158" s="14">
        <v>1.9001631477413201E-2</v>
      </c>
      <c r="K158" s="14">
        <v>8.4559820063999397E-2</v>
      </c>
      <c r="L158" s="14">
        <v>0</v>
      </c>
      <c r="Q158" s="14" t="s">
        <v>340</v>
      </c>
    </row>
    <row r="159" spans="1:17" x14ac:dyDescent="0.25">
      <c r="A159" s="14" t="s">
        <v>92</v>
      </c>
      <c r="B159" s="14" t="s">
        <v>66</v>
      </c>
      <c r="C159" s="14" t="s">
        <v>67</v>
      </c>
      <c r="D159" s="14">
        <v>5</v>
      </c>
      <c r="E159" s="14">
        <v>2</v>
      </c>
      <c r="F159" s="14" t="s">
        <v>92</v>
      </c>
      <c r="G159" s="14">
        <v>0</v>
      </c>
      <c r="H159" s="14">
        <v>1</v>
      </c>
      <c r="I159" s="14">
        <v>23.285934606314001</v>
      </c>
      <c r="J159" s="14">
        <v>9.0100885079222995E-2</v>
      </c>
      <c r="K159" s="14">
        <v>2.3236740524616901E-2</v>
      </c>
      <c r="L159" s="14">
        <v>23.362064340494499</v>
      </c>
      <c r="Q159" s="14" t="s">
        <v>341</v>
      </c>
    </row>
    <row r="160" spans="1:17" x14ac:dyDescent="0.25">
      <c r="A160" s="14" t="s">
        <v>92</v>
      </c>
      <c r="B160" s="14" t="s">
        <v>66</v>
      </c>
      <c r="C160" s="14" t="s">
        <v>67</v>
      </c>
      <c r="D160" s="14">
        <v>5</v>
      </c>
      <c r="E160" s="14">
        <v>2</v>
      </c>
      <c r="F160" s="14" t="s">
        <v>92</v>
      </c>
      <c r="G160" s="14">
        <v>1</v>
      </c>
      <c r="H160" s="14">
        <v>1</v>
      </c>
      <c r="I160" s="14">
        <v>8.7325615303104301E-2</v>
      </c>
      <c r="J160" s="14">
        <v>9.0100885079355403E-2</v>
      </c>
      <c r="K160" s="14">
        <v>2.3236740524895601E-2</v>
      </c>
      <c r="L160" s="14">
        <v>0</v>
      </c>
      <c r="Q160" s="14" t="s">
        <v>342</v>
      </c>
    </row>
    <row r="161" spans="1:17" x14ac:dyDescent="0.25">
      <c r="A161" s="14" t="s">
        <v>92</v>
      </c>
      <c r="B161" s="14" t="s">
        <v>66</v>
      </c>
      <c r="C161" s="14" t="s">
        <v>67</v>
      </c>
      <c r="D161" s="14">
        <v>5</v>
      </c>
      <c r="E161" s="14">
        <v>2</v>
      </c>
      <c r="F161" s="14" t="s">
        <v>93</v>
      </c>
      <c r="G161" s="14">
        <v>0</v>
      </c>
      <c r="H161" s="14">
        <v>1</v>
      </c>
      <c r="I161" s="14">
        <v>2.6073878417828999E-2</v>
      </c>
      <c r="J161" s="14">
        <v>2.5716049186056401E-2</v>
      </c>
      <c r="K161" s="14">
        <v>3.21376357782681E-2</v>
      </c>
      <c r="L161" s="14">
        <v>0</v>
      </c>
      <c r="Q161" s="14" t="s">
        <v>343</v>
      </c>
    </row>
    <row r="162" spans="1:17" x14ac:dyDescent="0.25">
      <c r="A162" s="14" t="s">
        <v>92</v>
      </c>
      <c r="B162" s="14" t="s">
        <v>66</v>
      </c>
      <c r="C162" s="14" t="s">
        <v>67</v>
      </c>
      <c r="D162" s="14">
        <v>5</v>
      </c>
      <c r="E162" s="14">
        <v>2</v>
      </c>
      <c r="F162" s="14" t="s">
        <v>93</v>
      </c>
      <c r="G162" s="14">
        <v>1</v>
      </c>
      <c r="H162" s="14">
        <v>-1</v>
      </c>
      <c r="I162" s="14">
        <v>2.6073878417828999E-2</v>
      </c>
      <c r="J162" s="14">
        <v>2.5716049186056401E-2</v>
      </c>
      <c r="K162" s="14">
        <v>3.21376357782681E-2</v>
      </c>
      <c r="L162" s="14">
        <v>0</v>
      </c>
      <c r="Q162" s="14" t="s">
        <v>344</v>
      </c>
    </row>
    <row r="163" spans="1:17" x14ac:dyDescent="0.25">
      <c r="A163" s="14" t="s">
        <v>92</v>
      </c>
      <c r="B163" s="14" t="s">
        <v>66</v>
      </c>
      <c r="C163" s="14" t="s">
        <v>67</v>
      </c>
      <c r="D163" s="14">
        <v>5</v>
      </c>
      <c r="E163" s="14">
        <v>2</v>
      </c>
      <c r="F163" s="14" t="s">
        <v>94</v>
      </c>
      <c r="G163" s="14">
        <v>0</v>
      </c>
      <c r="H163" s="14">
        <v>1</v>
      </c>
      <c r="I163" s="14">
        <v>7.3895219939907594E-2</v>
      </c>
      <c r="J163" s="14">
        <v>1.9001631477411698E-2</v>
      </c>
      <c r="K163" s="14">
        <v>8.4559820064005697E-2</v>
      </c>
      <c r="L163" s="14">
        <v>0</v>
      </c>
      <c r="Q163" s="14" t="s">
        <v>345</v>
      </c>
    </row>
    <row r="164" spans="1:17" x14ac:dyDescent="0.25">
      <c r="A164" s="14" t="s">
        <v>92</v>
      </c>
      <c r="B164" s="14" t="s">
        <v>66</v>
      </c>
      <c r="C164" s="14" t="s">
        <v>67</v>
      </c>
      <c r="D164" s="14">
        <v>5</v>
      </c>
      <c r="E164" s="14">
        <v>2</v>
      </c>
      <c r="F164" s="14" t="s">
        <v>94</v>
      </c>
      <c r="G164" s="14">
        <v>1</v>
      </c>
      <c r="H164" s="14">
        <v>-1</v>
      </c>
      <c r="I164" s="14">
        <v>0.17414886155141901</v>
      </c>
      <c r="J164" s="14">
        <v>7.4032293536503799E-2</v>
      </c>
      <c r="K164" s="14">
        <v>0.10800564589058501</v>
      </c>
      <c r="L164" s="14">
        <v>0</v>
      </c>
      <c r="Q164" s="14" t="s">
        <v>346</v>
      </c>
    </row>
    <row r="165" spans="1:17" x14ac:dyDescent="0.25">
      <c r="A165" s="14" t="s">
        <v>92</v>
      </c>
      <c r="B165" s="14" t="s">
        <v>66</v>
      </c>
      <c r="C165" s="14" t="s">
        <v>67</v>
      </c>
      <c r="D165" s="14">
        <v>5</v>
      </c>
      <c r="E165" s="14">
        <v>50</v>
      </c>
      <c r="F165" s="14" t="s">
        <v>91</v>
      </c>
      <c r="G165" s="14">
        <v>0</v>
      </c>
      <c r="H165" s="14">
        <v>1</v>
      </c>
      <c r="I165" s="14">
        <v>7.6281203977032794E-2</v>
      </c>
      <c r="J165" s="14">
        <v>8.0694231776865799E-2</v>
      </c>
      <c r="K165" s="14">
        <v>9.1392425496667304E-2</v>
      </c>
      <c r="L165" s="14">
        <v>0</v>
      </c>
      <c r="Q165" s="14" t="s">
        <v>347</v>
      </c>
    </row>
    <row r="166" spans="1:17" x14ac:dyDescent="0.25">
      <c r="A166" s="14" t="s">
        <v>92</v>
      </c>
      <c r="B166" s="14" t="s">
        <v>66</v>
      </c>
      <c r="C166" s="14" t="s">
        <v>67</v>
      </c>
      <c r="D166" s="14">
        <v>5</v>
      </c>
      <c r="E166" s="14">
        <v>50</v>
      </c>
      <c r="F166" s="14" t="s">
        <v>91</v>
      </c>
      <c r="G166" s="14">
        <v>1</v>
      </c>
      <c r="H166" s="14">
        <v>-1</v>
      </c>
      <c r="I166" s="14">
        <v>7.6281203977032794E-2</v>
      </c>
      <c r="J166" s="14">
        <v>8.0694231776865799E-2</v>
      </c>
      <c r="K166" s="14">
        <v>9.1392425496667304E-2</v>
      </c>
      <c r="L166" s="14">
        <v>0</v>
      </c>
      <c r="Q166" s="14" t="s">
        <v>348</v>
      </c>
    </row>
    <row r="167" spans="1:17" x14ac:dyDescent="0.25">
      <c r="A167" s="14" t="s">
        <v>92</v>
      </c>
      <c r="B167" s="14" t="s">
        <v>66</v>
      </c>
      <c r="C167" s="14" t="s">
        <v>67</v>
      </c>
      <c r="D167" s="14">
        <v>5</v>
      </c>
      <c r="E167" s="14">
        <v>50</v>
      </c>
      <c r="F167" s="14" t="s">
        <v>65</v>
      </c>
      <c r="G167" s="14">
        <v>0</v>
      </c>
      <c r="H167" s="14">
        <v>-1</v>
      </c>
      <c r="I167" s="14">
        <v>0.12813861956876599</v>
      </c>
      <c r="J167" s="14">
        <v>0.106625634232074</v>
      </c>
      <c r="K167" s="14">
        <v>2.8939318557833899E-2</v>
      </c>
      <c r="L167" s="14">
        <v>0</v>
      </c>
      <c r="Q167" s="14" t="s">
        <v>349</v>
      </c>
    </row>
    <row r="168" spans="1:17" x14ac:dyDescent="0.25">
      <c r="A168" s="14" t="s">
        <v>92</v>
      </c>
      <c r="B168" s="14" t="s">
        <v>66</v>
      </c>
      <c r="C168" s="14" t="s">
        <v>67</v>
      </c>
      <c r="D168" s="14">
        <v>5</v>
      </c>
      <c r="E168" s="14">
        <v>50</v>
      </c>
      <c r="F168" s="14" t="s">
        <v>65</v>
      </c>
      <c r="G168" s="14">
        <v>1</v>
      </c>
      <c r="H168" s="14">
        <v>-1</v>
      </c>
      <c r="I168" s="14">
        <v>0.10148115540541799</v>
      </c>
      <c r="J168" s="14">
        <v>5.1149645507088698E-2</v>
      </c>
      <c r="K168" s="14">
        <v>9.5623946375037794E-2</v>
      </c>
      <c r="L168" s="14">
        <v>0</v>
      </c>
      <c r="Q168" s="14" t="s">
        <v>350</v>
      </c>
    </row>
    <row r="169" spans="1:17" x14ac:dyDescent="0.25">
      <c r="A169" s="14" t="s">
        <v>92</v>
      </c>
      <c r="B169" s="14" t="s">
        <v>66</v>
      </c>
      <c r="C169" s="14" t="s">
        <v>67</v>
      </c>
      <c r="D169" s="14">
        <v>5</v>
      </c>
      <c r="E169" s="14">
        <v>50</v>
      </c>
      <c r="F169" s="14" t="s">
        <v>92</v>
      </c>
      <c r="G169" s="14">
        <v>0</v>
      </c>
      <c r="H169" s="14">
        <v>1</v>
      </c>
      <c r="I169" s="14">
        <v>16.533775659664901</v>
      </c>
      <c r="J169" s="14">
        <v>0.106625634232092</v>
      </c>
      <c r="K169" s="14">
        <v>2.8939318557845199E-2</v>
      </c>
      <c r="L169" s="14">
        <v>16.6551009498497</v>
      </c>
      <c r="Q169" s="14" t="s">
        <v>351</v>
      </c>
    </row>
    <row r="170" spans="1:17" x14ac:dyDescent="0.25">
      <c r="A170" s="14" t="s">
        <v>92</v>
      </c>
      <c r="B170" s="14" t="s">
        <v>66</v>
      </c>
      <c r="C170" s="14" t="s">
        <v>67</v>
      </c>
      <c r="D170" s="14">
        <v>5</v>
      </c>
      <c r="E170" s="14">
        <v>50</v>
      </c>
      <c r="F170" s="14" t="s">
        <v>92</v>
      </c>
      <c r="G170" s="14">
        <v>1</v>
      </c>
      <c r="H170" s="14">
        <v>1</v>
      </c>
      <c r="I170" s="14">
        <v>0.128138619568783</v>
      </c>
      <c r="J170" s="14">
        <v>0.10662563423209399</v>
      </c>
      <c r="K170" s="14">
        <v>2.8939318557855202E-2</v>
      </c>
      <c r="L170" s="14">
        <v>0</v>
      </c>
      <c r="Q170" s="14" t="s">
        <v>352</v>
      </c>
    </row>
    <row r="171" spans="1:17" x14ac:dyDescent="0.25">
      <c r="A171" s="14" t="s">
        <v>92</v>
      </c>
      <c r="B171" s="14" t="s">
        <v>66</v>
      </c>
      <c r="C171" s="14" t="s">
        <v>67</v>
      </c>
      <c r="D171" s="14">
        <v>5</v>
      </c>
      <c r="E171" s="14">
        <v>50</v>
      </c>
      <c r="F171" s="14" t="s">
        <v>93</v>
      </c>
      <c r="G171" s="14">
        <v>0</v>
      </c>
      <c r="H171" s="14">
        <v>1</v>
      </c>
      <c r="I171" s="14">
        <v>2.5669369327375499E-2</v>
      </c>
      <c r="J171" s="14">
        <v>2.7154396234922801E-2</v>
      </c>
      <c r="K171" s="14">
        <v>3.07544427917672E-2</v>
      </c>
      <c r="L171" s="14">
        <v>0</v>
      </c>
      <c r="Q171" s="14" t="s">
        <v>353</v>
      </c>
    </row>
    <row r="172" spans="1:17" x14ac:dyDescent="0.25">
      <c r="A172" s="14" t="s">
        <v>92</v>
      </c>
      <c r="B172" s="14" t="s">
        <v>66</v>
      </c>
      <c r="C172" s="14" t="s">
        <v>67</v>
      </c>
      <c r="D172" s="14">
        <v>5</v>
      </c>
      <c r="E172" s="14">
        <v>50</v>
      </c>
      <c r="F172" s="14" t="s">
        <v>93</v>
      </c>
      <c r="G172" s="14">
        <v>1</v>
      </c>
      <c r="H172" s="14">
        <v>-1</v>
      </c>
      <c r="I172" s="14">
        <v>2.5669369327375499E-2</v>
      </c>
      <c r="J172" s="14">
        <v>2.7154396234922801E-2</v>
      </c>
      <c r="K172" s="14">
        <v>3.07544427917672E-2</v>
      </c>
      <c r="L172" s="14">
        <v>0</v>
      </c>
      <c r="Q172" s="14" t="s">
        <v>354</v>
      </c>
    </row>
    <row r="173" spans="1:17" x14ac:dyDescent="0.25">
      <c r="A173" s="14" t="s">
        <v>92</v>
      </c>
      <c r="B173" s="14" t="s">
        <v>66</v>
      </c>
      <c r="C173" s="14" t="s">
        <v>67</v>
      </c>
      <c r="D173" s="14">
        <v>5</v>
      </c>
      <c r="E173" s="14">
        <v>50</v>
      </c>
      <c r="F173" s="14" t="s">
        <v>94</v>
      </c>
      <c r="G173" s="14">
        <v>0</v>
      </c>
      <c r="H173" s="14">
        <v>1</v>
      </c>
      <c r="I173" s="14">
        <v>0.10148115540541899</v>
      </c>
      <c r="J173" s="14">
        <v>5.1149645507087997E-2</v>
      </c>
      <c r="K173" s="14">
        <v>9.5623946375036697E-2</v>
      </c>
      <c r="L173" s="14">
        <v>0</v>
      </c>
      <c r="Q173" s="14" t="s">
        <v>355</v>
      </c>
    </row>
    <row r="174" spans="1:17" x14ac:dyDescent="0.25">
      <c r="A174" s="14" t="s">
        <v>92</v>
      </c>
      <c r="B174" s="14" t="s">
        <v>66</v>
      </c>
      <c r="C174" s="14" t="s">
        <v>67</v>
      </c>
      <c r="D174" s="14">
        <v>5</v>
      </c>
      <c r="E174" s="14">
        <v>50</v>
      </c>
      <c r="F174" s="14" t="s">
        <v>94</v>
      </c>
      <c r="G174" s="14">
        <v>1</v>
      </c>
      <c r="H174" s="14">
        <v>1</v>
      </c>
      <c r="I174" s="14">
        <v>0.210343289704571</v>
      </c>
      <c r="J174" s="14">
        <v>0.14267031054298401</v>
      </c>
      <c r="K174" s="14">
        <v>0.12700277588697501</v>
      </c>
      <c r="L174" s="14">
        <v>0</v>
      </c>
      <c r="Q174" s="14" t="s">
        <v>356</v>
      </c>
    </row>
    <row r="175" spans="1:17" x14ac:dyDescent="0.25">
      <c r="A175" s="14" t="s">
        <v>92</v>
      </c>
      <c r="B175" s="14" t="s">
        <v>66</v>
      </c>
      <c r="C175" s="14" t="s">
        <v>67</v>
      </c>
      <c r="D175" s="14">
        <v>5</v>
      </c>
      <c r="E175" s="14">
        <v>98</v>
      </c>
      <c r="F175" s="14" t="s">
        <v>91</v>
      </c>
      <c r="G175" s="14">
        <v>0</v>
      </c>
      <c r="H175" s="14">
        <v>1</v>
      </c>
      <c r="I175" s="14">
        <v>7.8008238299103402E-2</v>
      </c>
      <c r="J175" s="14">
        <v>8.3189421041899095E-2</v>
      </c>
      <c r="K175" s="14">
        <v>8.9858046779406203E-2</v>
      </c>
      <c r="L175" s="14">
        <v>0</v>
      </c>
      <c r="Q175" s="14" t="s">
        <v>357</v>
      </c>
    </row>
    <row r="176" spans="1:17" x14ac:dyDescent="0.25">
      <c r="A176" s="14" t="s">
        <v>92</v>
      </c>
      <c r="B176" s="14" t="s">
        <v>66</v>
      </c>
      <c r="C176" s="14" t="s">
        <v>67</v>
      </c>
      <c r="D176" s="14">
        <v>5</v>
      </c>
      <c r="E176" s="14">
        <v>98</v>
      </c>
      <c r="F176" s="14" t="s">
        <v>91</v>
      </c>
      <c r="G176" s="14">
        <v>1</v>
      </c>
      <c r="H176" s="14">
        <v>-1</v>
      </c>
      <c r="I176" s="14">
        <v>7.8008238299103402E-2</v>
      </c>
      <c r="J176" s="14">
        <v>8.3189421041899095E-2</v>
      </c>
      <c r="K176" s="14">
        <v>8.9858046779406203E-2</v>
      </c>
      <c r="L176" s="14">
        <v>0</v>
      </c>
      <c r="Q176" s="14" t="s">
        <v>358</v>
      </c>
    </row>
    <row r="177" spans="1:17" x14ac:dyDescent="0.25">
      <c r="A177" s="14" t="s">
        <v>92</v>
      </c>
      <c r="B177" s="14" t="s">
        <v>66</v>
      </c>
      <c r="C177" s="14" t="s">
        <v>67</v>
      </c>
      <c r="D177" s="14">
        <v>5</v>
      </c>
      <c r="E177" s="14">
        <v>98</v>
      </c>
      <c r="F177" s="14" t="s">
        <v>65</v>
      </c>
      <c r="G177" s="14">
        <v>0</v>
      </c>
      <c r="H177" s="14">
        <v>-1</v>
      </c>
      <c r="I177" s="14">
        <v>0.14796828988906799</v>
      </c>
      <c r="J177" s="14">
        <v>0.11309120309134101</v>
      </c>
      <c r="K177" s="14">
        <v>3.9588509148823399E-2</v>
      </c>
      <c r="L177" s="14">
        <v>0</v>
      </c>
      <c r="Q177" s="14" t="s">
        <v>359</v>
      </c>
    </row>
    <row r="178" spans="1:17" x14ac:dyDescent="0.25">
      <c r="A178" s="14" t="s">
        <v>92</v>
      </c>
      <c r="B178" s="14" t="s">
        <v>66</v>
      </c>
      <c r="C178" s="14" t="s">
        <v>67</v>
      </c>
      <c r="D178" s="14">
        <v>5</v>
      </c>
      <c r="E178" s="14">
        <v>98</v>
      </c>
      <c r="F178" s="14" t="s">
        <v>65</v>
      </c>
      <c r="G178" s="14">
        <v>1</v>
      </c>
      <c r="H178" s="14">
        <v>1</v>
      </c>
      <c r="I178" s="14">
        <v>0.117700262549941</v>
      </c>
      <c r="J178" s="14">
        <v>6.8605505570729697E-2</v>
      </c>
      <c r="K178" s="14">
        <v>9.9293461393232293E-2</v>
      </c>
      <c r="L178" s="14">
        <v>0</v>
      </c>
      <c r="Q178" s="14" t="s">
        <v>360</v>
      </c>
    </row>
    <row r="179" spans="1:17" x14ac:dyDescent="0.25">
      <c r="A179" s="14" t="s">
        <v>92</v>
      </c>
      <c r="B179" s="14" t="s">
        <v>66</v>
      </c>
      <c r="C179" s="14" t="s">
        <v>67</v>
      </c>
      <c r="D179" s="14">
        <v>5</v>
      </c>
      <c r="E179" s="14">
        <v>98</v>
      </c>
      <c r="F179" s="14" t="s">
        <v>92</v>
      </c>
      <c r="G179" s="14">
        <v>0</v>
      </c>
      <c r="H179" s="14">
        <v>1</v>
      </c>
      <c r="I179" s="14">
        <v>12.4780644017389</v>
      </c>
      <c r="J179" s="14">
        <v>0.113091203091349</v>
      </c>
      <c r="K179" s="14">
        <v>3.9588509148801E-2</v>
      </c>
      <c r="L179" s="14">
        <v>12.620711254330599</v>
      </c>
      <c r="Q179" s="14" t="s">
        <v>361</v>
      </c>
    </row>
    <row r="180" spans="1:17" x14ac:dyDescent="0.25">
      <c r="A180" s="14" t="s">
        <v>92</v>
      </c>
      <c r="B180" s="14" t="s">
        <v>66</v>
      </c>
      <c r="C180" s="14" t="s">
        <v>67</v>
      </c>
      <c r="D180" s="14">
        <v>5</v>
      </c>
      <c r="E180" s="14">
        <v>98</v>
      </c>
      <c r="F180" s="14" t="s">
        <v>92</v>
      </c>
      <c r="G180" s="14">
        <v>1</v>
      </c>
      <c r="H180" s="14">
        <v>1</v>
      </c>
      <c r="I180" s="14">
        <v>0.147968289889024</v>
      </c>
      <c r="J180" s="14">
        <v>0.113091203091284</v>
      </c>
      <c r="K180" s="14">
        <v>3.9588509148836298E-2</v>
      </c>
      <c r="L180" s="14">
        <v>0</v>
      </c>
      <c r="Q180" s="14" t="s">
        <v>362</v>
      </c>
    </row>
    <row r="181" spans="1:17" x14ac:dyDescent="0.25">
      <c r="A181" s="14" t="s">
        <v>92</v>
      </c>
      <c r="B181" s="14" t="s">
        <v>66</v>
      </c>
      <c r="C181" s="14" t="s">
        <v>67</v>
      </c>
      <c r="D181" s="14">
        <v>5</v>
      </c>
      <c r="E181" s="14">
        <v>98</v>
      </c>
      <c r="F181" s="14" t="s">
        <v>93</v>
      </c>
      <c r="G181" s="14">
        <v>0</v>
      </c>
      <c r="H181" s="14">
        <v>1</v>
      </c>
      <c r="I181" s="14">
        <v>2.6250533225465E-2</v>
      </c>
      <c r="J181" s="14">
        <v>2.7994051765334298E-2</v>
      </c>
      <c r="K181" s="14">
        <v>3.02381093842162E-2</v>
      </c>
      <c r="L181" s="14">
        <v>0</v>
      </c>
      <c r="Q181" s="14" t="s">
        <v>363</v>
      </c>
    </row>
    <row r="182" spans="1:17" x14ac:dyDescent="0.25">
      <c r="A182" s="14" t="s">
        <v>92</v>
      </c>
      <c r="B182" s="14" t="s">
        <v>66</v>
      </c>
      <c r="C182" s="14" t="s">
        <v>67</v>
      </c>
      <c r="D182" s="14">
        <v>5</v>
      </c>
      <c r="E182" s="14">
        <v>98</v>
      </c>
      <c r="F182" s="14" t="s">
        <v>93</v>
      </c>
      <c r="G182" s="14">
        <v>1</v>
      </c>
      <c r="H182" s="14">
        <v>-1</v>
      </c>
      <c r="I182" s="14">
        <v>2.6250533225465E-2</v>
      </c>
      <c r="J182" s="14">
        <v>2.7994051765334298E-2</v>
      </c>
      <c r="K182" s="14">
        <v>3.02381093842162E-2</v>
      </c>
      <c r="L182" s="14">
        <v>0</v>
      </c>
      <c r="Q182" s="14" t="s">
        <v>364</v>
      </c>
    </row>
    <row r="183" spans="1:17" x14ac:dyDescent="0.25">
      <c r="A183" s="14" t="s">
        <v>92</v>
      </c>
      <c r="B183" s="14" t="s">
        <v>66</v>
      </c>
      <c r="C183" s="14" t="s">
        <v>67</v>
      </c>
      <c r="D183" s="14">
        <v>5</v>
      </c>
      <c r="E183" s="14">
        <v>98</v>
      </c>
      <c r="F183" s="14" t="s">
        <v>94</v>
      </c>
      <c r="G183" s="14">
        <v>0</v>
      </c>
      <c r="H183" s="14">
        <v>-1</v>
      </c>
      <c r="I183" s="14">
        <v>0.117700262549937</v>
      </c>
      <c r="J183" s="14">
        <v>6.8605505570728906E-2</v>
      </c>
      <c r="K183" s="14">
        <v>9.9293461393240995E-2</v>
      </c>
      <c r="L183" s="14">
        <v>0</v>
      </c>
      <c r="Q183" s="14" t="s">
        <v>365</v>
      </c>
    </row>
    <row r="184" spans="1:17" x14ac:dyDescent="0.25">
      <c r="A184" s="14" t="s">
        <v>92</v>
      </c>
      <c r="B184" s="14" t="s">
        <v>66</v>
      </c>
      <c r="C184" s="14" t="s">
        <v>67</v>
      </c>
      <c r="D184" s="14">
        <v>5</v>
      </c>
      <c r="E184" s="14">
        <v>98</v>
      </c>
      <c r="F184" s="14" t="s">
        <v>94</v>
      </c>
      <c r="G184" s="14">
        <v>1</v>
      </c>
      <c r="H184" s="14">
        <v>1</v>
      </c>
      <c r="I184" s="14">
        <v>0.228281940470273</v>
      </c>
      <c r="J184" s="14">
        <v>0.182362127354532</v>
      </c>
      <c r="K184" s="14">
        <v>0.13652243678333101</v>
      </c>
      <c r="L184" s="14">
        <v>0</v>
      </c>
      <c r="Q184" s="14" t="s">
        <v>366</v>
      </c>
    </row>
    <row r="185" spans="1:17" x14ac:dyDescent="0.25">
      <c r="A185" s="14" t="s">
        <v>92</v>
      </c>
      <c r="B185" s="14" t="s">
        <v>66</v>
      </c>
      <c r="C185" s="14" t="s">
        <v>67</v>
      </c>
      <c r="D185" s="14">
        <v>10</v>
      </c>
      <c r="E185" s="14">
        <v>2</v>
      </c>
      <c r="F185" s="14" t="s">
        <v>91</v>
      </c>
      <c r="G185" s="14">
        <v>0</v>
      </c>
      <c r="H185" s="14">
        <v>1</v>
      </c>
      <c r="I185" s="14">
        <v>8.4793920226582706E-2</v>
      </c>
      <c r="J185" s="14">
        <v>8.2129955698324097E-2</v>
      </c>
      <c r="K185" s="14">
        <v>9.3864160504452301E-2</v>
      </c>
      <c r="L185" s="14">
        <v>0</v>
      </c>
      <c r="Q185" s="14" t="s">
        <v>367</v>
      </c>
    </row>
    <row r="186" spans="1:17" x14ac:dyDescent="0.25">
      <c r="A186" s="14" t="s">
        <v>92</v>
      </c>
      <c r="B186" s="14" t="s">
        <v>66</v>
      </c>
      <c r="C186" s="14" t="s">
        <v>67</v>
      </c>
      <c r="D186" s="14">
        <v>10</v>
      </c>
      <c r="E186" s="14">
        <v>2</v>
      </c>
      <c r="F186" s="14" t="s">
        <v>91</v>
      </c>
      <c r="G186" s="14">
        <v>1</v>
      </c>
      <c r="H186" s="14">
        <v>-1</v>
      </c>
      <c r="I186" s="14">
        <v>8.4793920226582706E-2</v>
      </c>
      <c r="J186" s="14">
        <v>8.2129955698324097E-2</v>
      </c>
      <c r="K186" s="14">
        <v>9.3864160504452301E-2</v>
      </c>
      <c r="L186" s="14">
        <v>0</v>
      </c>
      <c r="Q186" s="14" t="s">
        <v>368</v>
      </c>
    </row>
    <row r="187" spans="1:17" x14ac:dyDescent="0.25">
      <c r="A187" s="14" t="s">
        <v>92</v>
      </c>
      <c r="B187" s="14" t="s">
        <v>66</v>
      </c>
      <c r="C187" s="14" t="s">
        <v>67</v>
      </c>
      <c r="D187" s="14">
        <v>10</v>
      </c>
      <c r="E187" s="14">
        <v>2</v>
      </c>
      <c r="F187" s="14" t="s">
        <v>65</v>
      </c>
      <c r="G187" s="14">
        <v>0</v>
      </c>
      <c r="H187" s="14">
        <v>-1</v>
      </c>
      <c r="I187" s="14">
        <v>6.1424803229054303E-2</v>
      </c>
      <c r="J187" s="14">
        <v>7.4048334431485202E-2</v>
      </c>
      <c r="K187" s="14">
        <v>3.6179863734305803E-2</v>
      </c>
      <c r="L187" s="14">
        <v>0</v>
      </c>
      <c r="Q187" s="14" t="s">
        <v>369</v>
      </c>
    </row>
    <row r="188" spans="1:17" x14ac:dyDescent="0.25">
      <c r="A188" s="14" t="s">
        <v>92</v>
      </c>
      <c r="B188" s="14" t="s">
        <v>66</v>
      </c>
      <c r="C188" s="14" t="s">
        <v>67</v>
      </c>
      <c r="D188" s="14">
        <v>10</v>
      </c>
      <c r="E188" s="14">
        <v>2</v>
      </c>
      <c r="F188" s="14" t="s">
        <v>65</v>
      </c>
      <c r="G188" s="14">
        <v>1</v>
      </c>
      <c r="H188" s="14">
        <v>-1</v>
      </c>
      <c r="I188" s="14">
        <v>5.3633163085489099E-2</v>
      </c>
      <c r="J188" s="14">
        <v>2.08742050581835E-2</v>
      </c>
      <c r="K188" s="14">
        <v>6.9805296575727302E-2</v>
      </c>
      <c r="L188" s="14">
        <v>0</v>
      </c>
      <c r="Q188" s="14" t="s">
        <v>370</v>
      </c>
    </row>
    <row r="189" spans="1:17" x14ac:dyDescent="0.25">
      <c r="A189" s="14" t="s">
        <v>92</v>
      </c>
      <c r="B189" s="14" t="s">
        <v>66</v>
      </c>
      <c r="C189" s="14" t="s">
        <v>67</v>
      </c>
      <c r="D189" s="14">
        <v>10</v>
      </c>
      <c r="E189" s="14">
        <v>2</v>
      </c>
      <c r="F189" s="14" t="s">
        <v>92</v>
      </c>
      <c r="G189" s="14">
        <v>0</v>
      </c>
      <c r="H189" s="14">
        <v>1</v>
      </c>
      <c r="I189" s="14">
        <v>13.036149292629</v>
      </c>
      <c r="J189" s="14">
        <v>7.4048334431367699E-2</v>
      </c>
      <c r="K189" s="14">
        <v>3.6179863734183498E-2</v>
      </c>
      <c r="L189" s="14">
        <v>13.0731532811983</v>
      </c>
      <c r="Q189" s="14" t="s">
        <v>371</v>
      </c>
    </row>
    <row r="190" spans="1:17" x14ac:dyDescent="0.25">
      <c r="A190" s="14" t="s">
        <v>92</v>
      </c>
      <c r="B190" s="14" t="s">
        <v>66</v>
      </c>
      <c r="C190" s="14" t="s">
        <v>67</v>
      </c>
      <c r="D190" s="14">
        <v>10</v>
      </c>
      <c r="E190" s="14">
        <v>2</v>
      </c>
      <c r="F190" s="14" t="s">
        <v>92</v>
      </c>
      <c r="G190" s="14">
        <v>1</v>
      </c>
      <c r="H190" s="14">
        <v>1</v>
      </c>
      <c r="I190" s="14">
        <v>6.1424803229072698E-2</v>
      </c>
      <c r="J190" s="14">
        <v>7.4048334431500606E-2</v>
      </c>
      <c r="K190" s="14">
        <v>3.61798637343244E-2</v>
      </c>
      <c r="L190" s="14">
        <v>0</v>
      </c>
      <c r="Q190" s="14" t="s">
        <v>372</v>
      </c>
    </row>
    <row r="191" spans="1:17" x14ac:dyDescent="0.25">
      <c r="A191" s="14" t="s">
        <v>92</v>
      </c>
      <c r="B191" s="14" t="s">
        <v>66</v>
      </c>
      <c r="C191" s="14" t="s">
        <v>67</v>
      </c>
      <c r="D191" s="14">
        <v>10</v>
      </c>
      <c r="E191" s="14">
        <v>2</v>
      </c>
      <c r="F191" s="14" t="s">
        <v>93</v>
      </c>
      <c r="G191" s="14">
        <v>0</v>
      </c>
      <c r="H191" s="14">
        <v>1</v>
      </c>
      <c r="I191" s="14">
        <v>2.8533981394261099E-2</v>
      </c>
      <c r="J191" s="14">
        <v>2.76375313412245E-2</v>
      </c>
      <c r="K191" s="14">
        <v>3.1586205735801599E-2</v>
      </c>
      <c r="L191" s="14">
        <v>0</v>
      </c>
      <c r="Q191" s="14" t="s">
        <v>373</v>
      </c>
    </row>
    <row r="192" spans="1:17" x14ac:dyDescent="0.25">
      <c r="A192" s="14" t="s">
        <v>92</v>
      </c>
      <c r="B192" s="14" t="s">
        <v>66</v>
      </c>
      <c r="C192" s="14" t="s">
        <v>67</v>
      </c>
      <c r="D192" s="14">
        <v>10</v>
      </c>
      <c r="E192" s="14">
        <v>2</v>
      </c>
      <c r="F192" s="14" t="s">
        <v>93</v>
      </c>
      <c r="G192" s="14">
        <v>1</v>
      </c>
      <c r="H192" s="14">
        <v>-1</v>
      </c>
      <c r="I192" s="14">
        <v>2.8533981394261099E-2</v>
      </c>
      <c r="J192" s="14">
        <v>2.76375313412245E-2</v>
      </c>
      <c r="K192" s="14">
        <v>3.1586205735801599E-2</v>
      </c>
      <c r="L192" s="14">
        <v>0</v>
      </c>
      <c r="Q192" s="14" t="s">
        <v>374</v>
      </c>
    </row>
    <row r="193" spans="1:17" x14ac:dyDescent="0.25">
      <c r="A193" s="14" t="s">
        <v>92</v>
      </c>
      <c r="B193" s="14" t="s">
        <v>66</v>
      </c>
      <c r="C193" s="14" t="s">
        <v>67</v>
      </c>
      <c r="D193" s="14">
        <v>10</v>
      </c>
      <c r="E193" s="14">
        <v>2</v>
      </c>
      <c r="F193" s="14" t="s">
        <v>94</v>
      </c>
      <c r="G193" s="14">
        <v>0</v>
      </c>
      <c r="H193" s="14">
        <v>1</v>
      </c>
      <c r="I193" s="14">
        <v>5.3633163085483403E-2</v>
      </c>
      <c r="J193" s="14">
        <v>2.08742050581763E-2</v>
      </c>
      <c r="K193" s="14">
        <v>6.9805296575719405E-2</v>
      </c>
      <c r="L193" s="14">
        <v>0</v>
      </c>
      <c r="Q193" s="14" t="s">
        <v>375</v>
      </c>
    </row>
    <row r="194" spans="1:17" x14ac:dyDescent="0.25">
      <c r="A194" s="14" t="s">
        <v>92</v>
      </c>
      <c r="B194" s="14" t="s">
        <v>66</v>
      </c>
      <c r="C194" s="14" t="s">
        <v>67</v>
      </c>
      <c r="D194" s="14">
        <v>10</v>
      </c>
      <c r="E194" s="14">
        <v>2</v>
      </c>
      <c r="F194" s="14" t="s">
        <v>94</v>
      </c>
      <c r="G194" s="14">
        <v>1</v>
      </c>
      <c r="H194" s="14">
        <v>-1</v>
      </c>
      <c r="I194" s="14">
        <v>0.13555574102621101</v>
      </c>
      <c r="J194" s="14">
        <v>4.6227061292593498E-2</v>
      </c>
      <c r="K194" s="14">
        <v>9.7173743212120994E-2</v>
      </c>
      <c r="L194" s="14">
        <v>0</v>
      </c>
      <c r="Q194" s="14" t="s">
        <v>376</v>
      </c>
    </row>
    <row r="195" spans="1:17" x14ac:dyDescent="0.25">
      <c r="A195" s="14" t="s">
        <v>92</v>
      </c>
      <c r="B195" s="14" t="s">
        <v>66</v>
      </c>
      <c r="C195" s="14" t="s">
        <v>67</v>
      </c>
      <c r="D195" s="14">
        <v>10</v>
      </c>
      <c r="E195" s="14">
        <v>50</v>
      </c>
      <c r="F195" s="14" t="s">
        <v>91</v>
      </c>
      <c r="G195" s="14">
        <v>0</v>
      </c>
      <c r="H195" s="14">
        <v>1</v>
      </c>
      <c r="I195" s="14">
        <v>8.3036240790905297E-2</v>
      </c>
      <c r="J195" s="14">
        <v>8.3195264476174105E-2</v>
      </c>
      <c r="K195" s="14">
        <v>9.2111414519797402E-2</v>
      </c>
      <c r="L195" s="14">
        <v>0</v>
      </c>
      <c r="Q195" s="14" t="s">
        <v>377</v>
      </c>
    </row>
    <row r="196" spans="1:17" x14ac:dyDescent="0.25">
      <c r="A196" s="14" t="s">
        <v>92</v>
      </c>
      <c r="B196" s="14" t="s">
        <v>66</v>
      </c>
      <c r="C196" s="14" t="s">
        <v>67</v>
      </c>
      <c r="D196" s="14">
        <v>10</v>
      </c>
      <c r="E196" s="14">
        <v>50</v>
      </c>
      <c r="F196" s="14" t="s">
        <v>91</v>
      </c>
      <c r="G196" s="14">
        <v>1</v>
      </c>
      <c r="H196" s="14">
        <v>-1</v>
      </c>
      <c r="I196" s="14">
        <v>8.3036240790905297E-2</v>
      </c>
      <c r="J196" s="14">
        <v>8.3195264476174105E-2</v>
      </c>
      <c r="K196" s="14">
        <v>9.2111414519797402E-2</v>
      </c>
      <c r="L196" s="14">
        <v>0</v>
      </c>
      <c r="Q196" s="14" t="s">
        <v>378</v>
      </c>
    </row>
    <row r="197" spans="1:17" x14ac:dyDescent="0.25">
      <c r="A197" s="14" t="s">
        <v>92</v>
      </c>
      <c r="B197" s="14" t="s">
        <v>66</v>
      </c>
      <c r="C197" s="14" t="s">
        <v>67</v>
      </c>
      <c r="D197" s="14">
        <v>10</v>
      </c>
      <c r="E197" s="14">
        <v>50</v>
      </c>
      <c r="F197" s="14" t="s">
        <v>65</v>
      </c>
      <c r="G197" s="14">
        <v>0</v>
      </c>
      <c r="H197" s="14">
        <v>-1</v>
      </c>
      <c r="I197" s="14">
        <v>9.04758195145733E-2</v>
      </c>
      <c r="J197" s="14">
        <v>9.0129324209601694E-2</v>
      </c>
      <c r="K197" s="14">
        <v>2.47291898101125E-2</v>
      </c>
      <c r="L197" s="14">
        <v>0</v>
      </c>
      <c r="Q197" s="14" t="s">
        <v>379</v>
      </c>
    </row>
    <row r="198" spans="1:17" x14ac:dyDescent="0.25">
      <c r="A198" s="14" t="s">
        <v>92</v>
      </c>
      <c r="B198" s="14" t="s">
        <v>66</v>
      </c>
      <c r="C198" s="14" t="s">
        <v>67</v>
      </c>
      <c r="D198" s="14">
        <v>10</v>
      </c>
      <c r="E198" s="14">
        <v>50</v>
      </c>
      <c r="F198" s="14" t="s">
        <v>65</v>
      </c>
      <c r="G198" s="14">
        <v>1</v>
      </c>
      <c r="H198" s="14">
        <v>-1</v>
      </c>
      <c r="I198" s="14">
        <v>7.0056887641285898E-2</v>
      </c>
      <c r="J198" s="14">
        <v>2.2880442022144201E-2</v>
      </c>
      <c r="K198" s="14">
        <v>8.2868962532746199E-2</v>
      </c>
      <c r="L198" s="14">
        <v>0</v>
      </c>
      <c r="Q198" s="14" t="s">
        <v>380</v>
      </c>
    </row>
    <row r="199" spans="1:17" x14ac:dyDescent="0.25">
      <c r="A199" s="14" t="s">
        <v>92</v>
      </c>
      <c r="B199" s="14" t="s">
        <v>66</v>
      </c>
      <c r="C199" s="14" t="s">
        <v>67</v>
      </c>
      <c r="D199" s="14">
        <v>10</v>
      </c>
      <c r="E199" s="14">
        <v>50</v>
      </c>
      <c r="F199" s="14" t="s">
        <v>92</v>
      </c>
      <c r="G199" s="14">
        <v>0</v>
      </c>
      <c r="H199" s="14">
        <v>1</v>
      </c>
      <c r="I199" s="14">
        <v>11.031668332464101</v>
      </c>
      <c r="J199" s="14">
        <v>9.01293242096214E-2</v>
      </c>
      <c r="K199" s="14">
        <v>2.4729189810132599E-2</v>
      </c>
      <c r="L199" s="14">
        <v>11.107832200622999</v>
      </c>
      <c r="Q199" s="14" t="s">
        <v>381</v>
      </c>
    </row>
    <row r="200" spans="1:17" x14ac:dyDescent="0.25">
      <c r="A200" s="14" t="s">
        <v>92</v>
      </c>
      <c r="B200" s="14" t="s">
        <v>66</v>
      </c>
      <c r="C200" s="14" t="s">
        <v>67</v>
      </c>
      <c r="D200" s="14">
        <v>10</v>
      </c>
      <c r="E200" s="14">
        <v>50</v>
      </c>
      <c r="F200" s="14" t="s">
        <v>92</v>
      </c>
      <c r="G200" s="14">
        <v>1</v>
      </c>
      <c r="H200" s="14">
        <v>1</v>
      </c>
      <c r="I200" s="14">
        <v>9.0475819514579406E-2</v>
      </c>
      <c r="J200" s="14">
        <v>9.0129324209608605E-2</v>
      </c>
      <c r="K200" s="14">
        <v>2.4729189810121899E-2</v>
      </c>
      <c r="L200" s="14">
        <v>0</v>
      </c>
      <c r="Q200" s="14" t="s">
        <v>382</v>
      </c>
    </row>
    <row r="201" spans="1:17" x14ac:dyDescent="0.25">
      <c r="A201" s="14" t="s">
        <v>92</v>
      </c>
      <c r="B201" s="14" t="s">
        <v>66</v>
      </c>
      <c r="C201" s="14" t="s">
        <v>67</v>
      </c>
      <c r="D201" s="14">
        <v>10</v>
      </c>
      <c r="E201" s="14">
        <v>50</v>
      </c>
      <c r="F201" s="14" t="s">
        <v>93</v>
      </c>
      <c r="G201" s="14">
        <v>0</v>
      </c>
      <c r="H201" s="14">
        <v>1</v>
      </c>
      <c r="I201" s="14">
        <v>2.79425051164712E-2</v>
      </c>
      <c r="J201" s="14">
        <v>2.7996018137978699E-2</v>
      </c>
      <c r="K201" s="14">
        <v>3.0996389612411499E-2</v>
      </c>
      <c r="L201" s="14">
        <v>0</v>
      </c>
      <c r="Q201" s="14" t="s">
        <v>383</v>
      </c>
    </row>
    <row r="202" spans="1:17" x14ac:dyDescent="0.25">
      <c r="A202" s="14" t="s">
        <v>92</v>
      </c>
      <c r="B202" s="14" t="s">
        <v>66</v>
      </c>
      <c r="C202" s="14" t="s">
        <v>67</v>
      </c>
      <c r="D202" s="14">
        <v>10</v>
      </c>
      <c r="E202" s="14">
        <v>50</v>
      </c>
      <c r="F202" s="14" t="s">
        <v>93</v>
      </c>
      <c r="G202" s="14">
        <v>1</v>
      </c>
      <c r="H202" s="14">
        <v>-1</v>
      </c>
      <c r="I202" s="14">
        <v>2.79425051164712E-2</v>
      </c>
      <c r="J202" s="14">
        <v>2.7996018137978699E-2</v>
      </c>
      <c r="K202" s="14">
        <v>3.0996389612411499E-2</v>
      </c>
      <c r="L202" s="14">
        <v>0</v>
      </c>
      <c r="Q202" s="14" t="s">
        <v>384</v>
      </c>
    </row>
    <row r="203" spans="1:17" x14ac:dyDescent="0.25">
      <c r="A203" s="14" t="s">
        <v>92</v>
      </c>
      <c r="B203" s="14" t="s">
        <v>66</v>
      </c>
      <c r="C203" s="14" t="s">
        <v>67</v>
      </c>
      <c r="D203" s="14">
        <v>10</v>
      </c>
      <c r="E203" s="14">
        <v>50</v>
      </c>
      <c r="F203" s="14" t="s">
        <v>94</v>
      </c>
      <c r="G203" s="14">
        <v>0</v>
      </c>
      <c r="H203" s="14">
        <v>1</v>
      </c>
      <c r="I203" s="14">
        <v>7.0056887641290699E-2</v>
      </c>
      <c r="J203" s="14">
        <v>2.2880442022143201E-2</v>
      </c>
      <c r="K203" s="14">
        <v>8.2868962532754303E-2</v>
      </c>
      <c r="L203" s="14">
        <v>0</v>
      </c>
      <c r="Q203" s="14" t="s">
        <v>385</v>
      </c>
    </row>
    <row r="204" spans="1:17" x14ac:dyDescent="0.25">
      <c r="A204" s="14" t="s">
        <v>92</v>
      </c>
      <c r="B204" s="14" t="s">
        <v>66</v>
      </c>
      <c r="C204" s="14" t="s">
        <v>67</v>
      </c>
      <c r="D204" s="14">
        <v>10</v>
      </c>
      <c r="E204" s="14">
        <v>50</v>
      </c>
      <c r="F204" s="14" t="s">
        <v>94</v>
      </c>
      <c r="G204" s="14">
        <v>1</v>
      </c>
      <c r="H204" s="14">
        <v>-1</v>
      </c>
      <c r="I204" s="14">
        <v>0.16760324575494701</v>
      </c>
      <c r="J204" s="14">
        <v>6.9816908243008E-2</v>
      </c>
      <c r="K204" s="14">
        <v>0.10974930887107399</v>
      </c>
      <c r="L204" s="14">
        <v>0</v>
      </c>
      <c r="Q204" s="14" t="s">
        <v>386</v>
      </c>
    </row>
    <row r="205" spans="1:17" x14ac:dyDescent="0.25">
      <c r="A205" s="14" t="s">
        <v>92</v>
      </c>
      <c r="B205" s="14" t="s">
        <v>66</v>
      </c>
      <c r="C205" s="14" t="s">
        <v>67</v>
      </c>
      <c r="D205" s="14">
        <v>10</v>
      </c>
      <c r="E205" s="14">
        <v>98</v>
      </c>
      <c r="F205" s="14" t="s">
        <v>91</v>
      </c>
      <c r="G205" s="14">
        <v>0</v>
      </c>
      <c r="H205" s="14">
        <v>1</v>
      </c>
      <c r="I205" s="14">
        <v>8.2666844869776504E-2</v>
      </c>
      <c r="J205" s="14">
        <v>8.4252855354251005E-2</v>
      </c>
      <c r="K205" s="14">
        <v>9.0965023122786398E-2</v>
      </c>
      <c r="L205" s="14">
        <v>0</v>
      </c>
      <c r="Q205" s="14" t="s">
        <v>387</v>
      </c>
    </row>
    <row r="206" spans="1:17" x14ac:dyDescent="0.25">
      <c r="A206" s="14" t="s">
        <v>92</v>
      </c>
      <c r="B206" s="14" t="s">
        <v>66</v>
      </c>
      <c r="C206" s="14" t="s">
        <v>67</v>
      </c>
      <c r="D206" s="14">
        <v>10</v>
      </c>
      <c r="E206" s="14">
        <v>98</v>
      </c>
      <c r="F206" s="14" t="s">
        <v>91</v>
      </c>
      <c r="G206" s="14">
        <v>1</v>
      </c>
      <c r="H206" s="14">
        <v>-1</v>
      </c>
      <c r="I206" s="14">
        <v>8.2666844869776504E-2</v>
      </c>
      <c r="J206" s="14">
        <v>8.4252855354251005E-2</v>
      </c>
      <c r="K206" s="14">
        <v>9.0965023122786398E-2</v>
      </c>
      <c r="L206" s="14">
        <v>0</v>
      </c>
      <c r="Q206" s="14" t="s">
        <v>388</v>
      </c>
    </row>
    <row r="207" spans="1:17" x14ac:dyDescent="0.25">
      <c r="A207" s="14" t="s">
        <v>92</v>
      </c>
      <c r="B207" s="14" t="s">
        <v>66</v>
      </c>
      <c r="C207" s="14" t="s">
        <v>67</v>
      </c>
      <c r="D207" s="14">
        <v>10</v>
      </c>
      <c r="E207" s="14">
        <v>98</v>
      </c>
      <c r="F207" s="14" t="s">
        <v>65</v>
      </c>
      <c r="G207" s="14">
        <v>0</v>
      </c>
      <c r="H207" s="14">
        <v>-1</v>
      </c>
      <c r="I207" s="14">
        <v>0.112985343687525</v>
      </c>
      <c r="J207" s="14">
        <v>0.100101432867374</v>
      </c>
      <c r="K207" s="14">
        <v>2.50130944439515E-2</v>
      </c>
      <c r="L207" s="14">
        <v>0</v>
      </c>
      <c r="Q207" s="14" t="s">
        <v>389</v>
      </c>
    </row>
    <row r="208" spans="1:17" x14ac:dyDescent="0.25">
      <c r="A208" s="14" t="s">
        <v>92</v>
      </c>
      <c r="B208" s="14" t="s">
        <v>66</v>
      </c>
      <c r="C208" s="14" t="s">
        <v>67</v>
      </c>
      <c r="D208" s="14">
        <v>10</v>
      </c>
      <c r="E208" s="14">
        <v>98</v>
      </c>
      <c r="F208" s="14" t="s">
        <v>65</v>
      </c>
      <c r="G208" s="14">
        <v>1</v>
      </c>
      <c r="H208" s="14">
        <v>-1</v>
      </c>
      <c r="I208" s="14">
        <v>8.7129599953567394E-2</v>
      </c>
      <c r="J208" s="14">
        <v>3.9196682015302103E-2</v>
      </c>
      <c r="K208" s="14">
        <v>9.03399754449805E-2</v>
      </c>
      <c r="L208" s="14">
        <v>0</v>
      </c>
      <c r="Q208" s="14" t="s">
        <v>390</v>
      </c>
    </row>
    <row r="209" spans="1:17" x14ac:dyDescent="0.25">
      <c r="A209" s="14" t="s">
        <v>92</v>
      </c>
      <c r="B209" s="14" t="s">
        <v>66</v>
      </c>
      <c r="C209" s="14" t="s">
        <v>67</v>
      </c>
      <c r="D209" s="14">
        <v>10</v>
      </c>
      <c r="E209" s="14">
        <v>98</v>
      </c>
      <c r="F209" s="14" t="s">
        <v>92</v>
      </c>
      <c r="G209" s="14">
        <v>0</v>
      </c>
      <c r="H209" s="14">
        <v>1</v>
      </c>
      <c r="I209" s="14">
        <v>9.3239915567160097</v>
      </c>
      <c r="J209" s="14">
        <v>0.100101432867373</v>
      </c>
      <c r="K209" s="14">
        <v>2.5013094443917298E-2</v>
      </c>
      <c r="L209" s="14">
        <v>9.4265062722854207</v>
      </c>
      <c r="Q209" s="14" t="s">
        <v>391</v>
      </c>
    </row>
    <row r="210" spans="1:17" x14ac:dyDescent="0.25">
      <c r="A210" s="14" t="s">
        <v>92</v>
      </c>
      <c r="B210" s="14" t="s">
        <v>66</v>
      </c>
      <c r="C210" s="14" t="s">
        <v>67</v>
      </c>
      <c r="D210" s="14">
        <v>10</v>
      </c>
      <c r="E210" s="14">
        <v>98</v>
      </c>
      <c r="F210" s="14" t="s">
        <v>92</v>
      </c>
      <c r="G210" s="14">
        <v>1</v>
      </c>
      <c r="H210" s="14">
        <v>1</v>
      </c>
      <c r="I210" s="14">
        <v>0.112985343687541</v>
      </c>
      <c r="J210" s="14">
        <v>0.100101432867365</v>
      </c>
      <c r="K210" s="14">
        <v>2.50130944439774E-2</v>
      </c>
      <c r="L210" s="14">
        <v>0</v>
      </c>
      <c r="Q210" s="14" t="s">
        <v>392</v>
      </c>
    </row>
    <row r="211" spans="1:17" x14ac:dyDescent="0.25">
      <c r="A211" s="14" t="s">
        <v>92</v>
      </c>
      <c r="B211" s="14" t="s">
        <v>66</v>
      </c>
      <c r="C211" s="14" t="s">
        <v>67</v>
      </c>
      <c r="D211" s="14">
        <v>10</v>
      </c>
      <c r="E211" s="14">
        <v>98</v>
      </c>
      <c r="F211" s="14" t="s">
        <v>93</v>
      </c>
      <c r="G211" s="14">
        <v>0</v>
      </c>
      <c r="H211" s="14">
        <v>1</v>
      </c>
      <c r="I211" s="14">
        <v>2.7818199785229598E-2</v>
      </c>
      <c r="J211" s="14">
        <v>2.8351907786159598E-2</v>
      </c>
      <c r="K211" s="14">
        <v>3.06106177232724E-2</v>
      </c>
      <c r="L211" s="14">
        <v>0</v>
      </c>
      <c r="Q211" s="14" t="s">
        <v>393</v>
      </c>
    </row>
    <row r="212" spans="1:17" x14ac:dyDescent="0.25">
      <c r="A212" s="14" t="s">
        <v>92</v>
      </c>
      <c r="B212" s="14" t="s">
        <v>66</v>
      </c>
      <c r="C212" s="14" t="s">
        <v>67</v>
      </c>
      <c r="D212" s="14">
        <v>10</v>
      </c>
      <c r="E212" s="14">
        <v>98</v>
      </c>
      <c r="F212" s="14" t="s">
        <v>93</v>
      </c>
      <c r="G212" s="14">
        <v>1</v>
      </c>
      <c r="H212" s="14">
        <v>-1</v>
      </c>
      <c r="I212" s="14">
        <v>2.7818199785229598E-2</v>
      </c>
      <c r="J212" s="14">
        <v>2.8351907786159598E-2</v>
      </c>
      <c r="K212" s="14">
        <v>3.06106177232724E-2</v>
      </c>
      <c r="L212" s="14">
        <v>0</v>
      </c>
      <c r="Q212" s="14" t="s">
        <v>394</v>
      </c>
    </row>
    <row r="213" spans="1:17" x14ac:dyDescent="0.25">
      <c r="A213" s="14" t="s">
        <v>92</v>
      </c>
      <c r="B213" s="14" t="s">
        <v>66</v>
      </c>
      <c r="C213" s="14" t="s">
        <v>67</v>
      </c>
      <c r="D213" s="14">
        <v>10</v>
      </c>
      <c r="E213" s="14">
        <v>98</v>
      </c>
      <c r="F213" s="14" t="s">
        <v>94</v>
      </c>
      <c r="G213" s="14">
        <v>0</v>
      </c>
      <c r="H213" s="14">
        <v>1</v>
      </c>
      <c r="I213" s="14">
        <v>8.7129599953566797E-2</v>
      </c>
      <c r="J213" s="14">
        <v>3.9196682015301201E-2</v>
      </c>
      <c r="K213" s="14">
        <v>9.0339975444984802E-2</v>
      </c>
      <c r="L213" s="14">
        <v>0</v>
      </c>
      <c r="Q213" s="14" t="s">
        <v>395</v>
      </c>
    </row>
    <row r="214" spans="1:17" x14ac:dyDescent="0.25">
      <c r="A214" s="14" t="s">
        <v>92</v>
      </c>
      <c r="B214" s="14" t="s">
        <v>66</v>
      </c>
      <c r="C214" s="14" t="s">
        <v>67</v>
      </c>
      <c r="D214" s="14">
        <v>10</v>
      </c>
      <c r="E214" s="14">
        <v>98</v>
      </c>
      <c r="F214" s="14" t="s">
        <v>94</v>
      </c>
      <c r="G214" s="14">
        <v>1</v>
      </c>
      <c r="H214" s="14">
        <v>1</v>
      </c>
      <c r="I214" s="14">
        <v>0.19120668377804101</v>
      </c>
      <c r="J214" s="14">
        <v>0.110970720092213</v>
      </c>
      <c r="K214" s="14">
        <v>0.119998387008302</v>
      </c>
      <c r="L214" s="14">
        <v>0</v>
      </c>
      <c r="Q214" s="14" t="s">
        <v>396</v>
      </c>
    </row>
    <row r="215" spans="1:17" x14ac:dyDescent="0.25">
      <c r="A215" s="14" t="s">
        <v>92</v>
      </c>
      <c r="B215" s="14" t="s">
        <v>66</v>
      </c>
      <c r="C215" s="14" t="s">
        <v>67</v>
      </c>
      <c r="D215" s="14">
        <v>30</v>
      </c>
      <c r="E215" s="14">
        <v>2</v>
      </c>
      <c r="F215" s="14" t="s">
        <v>91</v>
      </c>
      <c r="G215" s="14">
        <v>0</v>
      </c>
      <c r="H215" s="14">
        <v>1</v>
      </c>
      <c r="I215" s="14">
        <v>8.8292978413649401E-2</v>
      </c>
      <c r="J215" s="14">
        <v>8.6876630081346898E-2</v>
      </c>
      <c r="K215" s="14">
        <v>9.1168305935862198E-2</v>
      </c>
      <c r="L215" s="14">
        <v>0</v>
      </c>
      <c r="Q215" s="14" t="s">
        <v>397</v>
      </c>
    </row>
    <row r="216" spans="1:17" x14ac:dyDescent="0.25">
      <c r="A216" s="14" t="s">
        <v>92</v>
      </c>
      <c r="B216" s="14" t="s">
        <v>66</v>
      </c>
      <c r="C216" s="14" t="s">
        <v>67</v>
      </c>
      <c r="D216" s="14">
        <v>30</v>
      </c>
      <c r="E216" s="14">
        <v>2</v>
      </c>
      <c r="F216" s="14" t="s">
        <v>91</v>
      </c>
      <c r="G216" s="14">
        <v>1</v>
      </c>
      <c r="H216" s="14">
        <v>-1</v>
      </c>
      <c r="I216" s="14">
        <v>8.8292978413649401E-2</v>
      </c>
      <c r="J216" s="14">
        <v>8.6876630081346898E-2</v>
      </c>
      <c r="K216" s="14">
        <v>9.1168305935862198E-2</v>
      </c>
      <c r="L216" s="14">
        <v>0</v>
      </c>
      <c r="Q216" s="14" t="s">
        <v>398</v>
      </c>
    </row>
    <row r="217" spans="1:17" x14ac:dyDescent="0.25">
      <c r="A217" s="14" t="s">
        <v>92</v>
      </c>
      <c r="B217" s="14" t="s">
        <v>66</v>
      </c>
      <c r="C217" s="14" t="s">
        <v>67</v>
      </c>
      <c r="D217" s="14">
        <v>30</v>
      </c>
      <c r="E217" s="14">
        <v>2</v>
      </c>
      <c r="F217" s="14" t="s">
        <v>65</v>
      </c>
      <c r="G217" s="14">
        <v>0</v>
      </c>
      <c r="H217" s="14">
        <v>-1</v>
      </c>
      <c r="I217" s="14">
        <v>5.2569910821042697E-2</v>
      </c>
      <c r="J217" s="14">
        <v>6.1145997248013E-2</v>
      </c>
      <c r="K217" s="14">
        <v>4.8375348923618097E-2</v>
      </c>
      <c r="L217" s="14">
        <v>0</v>
      </c>
      <c r="Q217" s="14" t="s">
        <v>399</v>
      </c>
    </row>
    <row r="218" spans="1:17" x14ac:dyDescent="0.25">
      <c r="A218" s="14" t="s">
        <v>92</v>
      </c>
      <c r="B218" s="14" t="s">
        <v>66</v>
      </c>
      <c r="C218" s="14" t="s">
        <v>67</v>
      </c>
      <c r="D218" s="14">
        <v>30</v>
      </c>
      <c r="E218" s="14">
        <v>2</v>
      </c>
      <c r="F218" s="14" t="s">
        <v>65</v>
      </c>
      <c r="G218" s="14">
        <v>1</v>
      </c>
      <c r="H218" s="14">
        <v>-1</v>
      </c>
      <c r="I218" s="14">
        <v>4.6599339282825399E-2</v>
      </c>
      <c r="J218" s="14">
        <v>3.8164530439319597E-2</v>
      </c>
      <c r="K218" s="14">
        <v>5.6019783470509198E-2</v>
      </c>
      <c r="L218" s="14">
        <v>0</v>
      </c>
      <c r="Q218" s="14" t="s">
        <v>400</v>
      </c>
    </row>
    <row r="219" spans="1:17" x14ac:dyDescent="0.25">
      <c r="A219" s="14" t="s">
        <v>92</v>
      </c>
      <c r="B219" s="14" t="s">
        <v>66</v>
      </c>
      <c r="C219" s="14" t="s">
        <v>67</v>
      </c>
      <c r="D219" s="14">
        <v>30</v>
      </c>
      <c r="E219" s="14">
        <v>2</v>
      </c>
      <c r="F219" s="14" t="s">
        <v>92</v>
      </c>
      <c r="G219" s="14">
        <v>0</v>
      </c>
      <c r="H219" s="14">
        <v>1</v>
      </c>
      <c r="I219" s="14">
        <v>4.5784684454352798</v>
      </c>
      <c r="J219" s="14">
        <v>6.1145997248132702E-2</v>
      </c>
      <c r="K219" s="14">
        <v>4.8375348923730799E-2</v>
      </c>
      <c r="L219" s="14">
        <v>4.5834238884462302</v>
      </c>
      <c r="Q219" s="14" t="s">
        <v>401</v>
      </c>
    </row>
    <row r="220" spans="1:17" x14ac:dyDescent="0.25">
      <c r="A220" s="14" t="s">
        <v>92</v>
      </c>
      <c r="B220" s="14" t="s">
        <v>66</v>
      </c>
      <c r="C220" s="14" t="s">
        <v>67</v>
      </c>
      <c r="D220" s="14">
        <v>30</v>
      </c>
      <c r="E220" s="14">
        <v>2</v>
      </c>
      <c r="F220" s="14" t="s">
        <v>92</v>
      </c>
      <c r="G220" s="14">
        <v>1</v>
      </c>
      <c r="H220" s="14">
        <v>1</v>
      </c>
      <c r="I220" s="14">
        <v>5.2569910821038797E-2</v>
      </c>
      <c r="J220" s="14">
        <v>6.11459972480091E-2</v>
      </c>
      <c r="K220" s="14">
        <v>4.8375348923615197E-2</v>
      </c>
      <c r="L220" s="14">
        <v>0</v>
      </c>
      <c r="Q220" s="14" t="s">
        <v>402</v>
      </c>
    </row>
    <row r="221" spans="1:17" x14ac:dyDescent="0.25">
      <c r="A221" s="14" t="s">
        <v>92</v>
      </c>
      <c r="B221" s="14" t="s">
        <v>66</v>
      </c>
      <c r="C221" s="14" t="s">
        <v>67</v>
      </c>
      <c r="D221" s="14">
        <v>30</v>
      </c>
      <c r="E221" s="14">
        <v>2</v>
      </c>
      <c r="F221" s="14" t="s">
        <v>93</v>
      </c>
      <c r="G221" s="14">
        <v>0</v>
      </c>
      <c r="H221" s="14">
        <v>1</v>
      </c>
      <c r="I221" s="14">
        <v>2.9711448610543902E-2</v>
      </c>
      <c r="J221" s="14">
        <v>2.9234833579021399E-2</v>
      </c>
      <c r="K221" s="14">
        <v>3.0679024373074699E-2</v>
      </c>
      <c r="L221" s="14">
        <v>0</v>
      </c>
      <c r="Q221" s="14" t="s">
        <v>403</v>
      </c>
    </row>
    <row r="222" spans="1:17" x14ac:dyDescent="0.25">
      <c r="A222" s="14" t="s">
        <v>92</v>
      </c>
      <c r="B222" s="14" t="s">
        <v>66</v>
      </c>
      <c r="C222" s="14" t="s">
        <v>67</v>
      </c>
      <c r="D222" s="14">
        <v>30</v>
      </c>
      <c r="E222" s="14">
        <v>2</v>
      </c>
      <c r="F222" s="14" t="s">
        <v>93</v>
      </c>
      <c r="G222" s="14">
        <v>1</v>
      </c>
      <c r="H222" s="14">
        <v>-1</v>
      </c>
      <c r="I222" s="14">
        <v>2.9711448610543902E-2</v>
      </c>
      <c r="J222" s="14">
        <v>2.9234833579021399E-2</v>
      </c>
      <c r="K222" s="14">
        <v>3.0679024373074699E-2</v>
      </c>
      <c r="L222" s="14">
        <v>0</v>
      </c>
      <c r="Q222" s="14" t="s">
        <v>404</v>
      </c>
    </row>
    <row r="223" spans="1:17" x14ac:dyDescent="0.25">
      <c r="A223" s="14" t="s">
        <v>92</v>
      </c>
      <c r="B223" s="14" t="s">
        <v>66</v>
      </c>
      <c r="C223" s="14" t="s">
        <v>67</v>
      </c>
      <c r="D223" s="14">
        <v>30</v>
      </c>
      <c r="E223" s="14">
        <v>2</v>
      </c>
      <c r="F223" s="14" t="s">
        <v>94</v>
      </c>
      <c r="G223" s="14">
        <v>0</v>
      </c>
      <c r="H223" s="14">
        <v>1</v>
      </c>
      <c r="I223" s="14">
        <v>4.65993392828414E-2</v>
      </c>
      <c r="J223" s="14">
        <v>3.8164530439336299E-2</v>
      </c>
      <c r="K223" s="14">
        <v>5.60197834705259E-2</v>
      </c>
      <c r="L223" s="14">
        <v>0</v>
      </c>
      <c r="Q223" s="14" t="s">
        <v>405</v>
      </c>
    </row>
    <row r="224" spans="1:17" x14ac:dyDescent="0.25">
      <c r="A224" s="14" t="s">
        <v>92</v>
      </c>
      <c r="B224" s="14" t="s">
        <v>66</v>
      </c>
      <c r="C224" s="14" t="s">
        <v>67</v>
      </c>
      <c r="D224" s="14">
        <v>30</v>
      </c>
      <c r="E224" s="14">
        <v>2</v>
      </c>
      <c r="F224" s="14" t="s">
        <v>94</v>
      </c>
      <c r="G224" s="14">
        <v>1</v>
      </c>
      <c r="H224" s="14">
        <v>-1</v>
      </c>
      <c r="I224" s="14">
        <v>0.105725715515589</v>
      </c>
      <c r="J224" s="14">
        <v>7.0875988678103297E-2</v>
      </c>
      <c r="K224" s="14">
        <v>9.2527492015312005E-2</v>
      </c>
      <c r="L224" s="14">
        <v>0</v>
      </c>
      <c r="Q224" s="14" t="s">
        <v>406</v>
      </c>
    </row>
    <row r="225" spans="1:17" x14ac:dyDescent="0.25">
      <c r="A225" s="14" t="s">
        <v>92</v>
      </c>
      <c r="B225" s="14" t="s">
        <v>66</v>
      </c>
      <c r="C225" s="14" t="s">
        <v>67</v>
      </c>
      <c r="D225" s="14">
        <v>30</v>
      </c>
      <c r="E225" s="14">
        <v>50</v>
      </c>
      <c r="F225" s="14" t="s">
        <v>91</v>
      </c>
      <c r="G225" s="14">
        <v>0</v>
      </c>
      <c r="H225" s="14">
        <v>1</v>
      </c>
      <c r="I225" s="14">
        <v>8.7918250137360404E-2</v>
      </c>
      <c r="J225" s="14">
        <v>8.6932215473308594E-2</v>
      </c>
      <c r="K225" s="14">
        <v>9.0931461459915805E-2</v>
      </c>
      <c r="L225" s="14">
        <v>0</v>
      </c>
      <c r="Q225" s="14" t="s">
        <v>407</v>
      </c>
    </row>
    <row r="226" spans="1:17" x14ac:dyDescent="0.25">
      <c r="A226" s="14" t="s">
        <v>92</v>
      </c>
      <c r="B226" s="14" t="s">
        <v>66</v>
      </c>
      <c r="C226" s="14" t="s">
        <v>67</v>
      </c>
      <c r="D226" s="14">
        <v>30</v>
      </c>
      <c r="E226" s="14">
        <v>50</v>
      </c>
      <c r="F226" s="14" t="s">
        <v>91</v>
      </c>
      <c r="G226" s="14">
        <v>1</v>
      </c>
      <c r="H226" s="14">
        <v>-1</v>
      </c>
      <c r="I226" s="14">
        <v>8.7918250137360404E-2</v>
      </c>
      <c r="J226" s="14">
        <v>8.6932215473308594E-2</v>
      </c>
      <c r="K226" s="14">
        <v>9.0931461459915805E-2</v>
      </c>
      <c r="L226" s="14">
        <v>0</v>
      </c>
      <c r="Q226" s="14" t="s">
        <v>408</v>
      </c>
    </row>
    <row r="227" spans="1:17" x14ac:dyDescent="0.25">
      <c r="A227" s="14" t="s">
        <v>92</v>
      </c>
      <c r="B227" s="14" t="s">
        <v>66</v>
      </c>
      <c r="C227" s="14" t="s">
        <v>67</v>
      </c>
      <c r="D227" s="14">
        <v>30</v>
      </c>
      <c r="E227" s="14">
        <v>50</v>
      </c>
      <c r="F227" s="14" t="s">
        <v>65</v>
      </c>
      <c r="G227" s="14">
        <v>0</v>
      </c>
      <c r="H227" s="14">
        <v>-1</v>
      </c>
      <c r="I227" s="14">
        <v>5.7640206472586199E-2</v>
      </c>
      <c r="J227" s="14">
        <v>6.8420170986433396E-2</v>
      </c>
      <c r="K227" s="14">
        <v>4.1620977046301702E-2</v>
      </c>
      <c r="L227" s="14">
        <v>0</v>
      </c>
      <c r="Q227" s="14" t="s">
        <v>409</v>
      </c>
    </row>
    <row r="228" spans="1:17" x14ac:dyDescent="0.25">
      <c r="A228" s="14" t="s">
        <v>92</v>
      </c>
      <c r="B228" s="14" t="s">
        <v>66</v>
      </c>
      <c r="C228" s="14" t="s">
        <v>67</v>
      </c>
      <c r="D228" s="14">
        <v>30</v>
      </c>
      <c r="E228" s="14">
        <v>50</v>
      </c>
      <c r="F228" s="14" t="s">
        <v>65</v>
      </c>
      <c r="G228" s="14">
        <v>1</v>
      </c>
      <c r="H228" s="14">
        <v>-1</v>
      </c>
      <c r="I228" s="14">
        <v>4.60093935479143E-2</v>
      </c>
      <c r="J228" s="14">
        <v>2.8697375994319301E-2</v>
      </c>
      <c r="K228" s="14">
        <v>6.3037160807875095E-2</v>
      </c>
      <c r="L228" s="14">
        <v>0</v>
      </c>
      <c r="Q228" s="14" t="s">
        <v>410</v>
      </c>
    </row>
    <row r="229" spans="1:17" x14ac:dyDescent="0.25">
      <c r="A229" s="14" t="s">
        <v>92</v>
      </c>
      <c r="B229" s="14" t="s">
        <v>66</v>
      </c>
      <c r="C229" s="14" t="s">
        <v>67</v>
      </c>
      <c r="D229" s="14">
        <v>30</v>
      </c>
      <c r="E229" s="14">
        <v>50</v>
      </c>
      <c r="F229" s="14" t="s">
        <v>92</v>
      </c>
      <c r="G229" s="14">
        <v>0</v>
      </c>
      <c r="H229" s="14">
        <v>1</v>
      </c>
      <c r="I229" s="14">
        <v>4.3744210388048304</v>
      </c>
      <c r="J229" s="14">
        <v>6.8420170986439197E-2</v>
      </c>
      <c r="K229" s="14">
        <v>4.1620977046305699E-2</v>
      </c>
      <c r="L229" s="14">
        <v>4.3968836586712499</v>
      </c>
      <c r="Q229" s="14" t="s">
        <v>411</v>
      </c>
    </row>
    <row r="230" spans="1:17" x14ac:dyDescent="0.25">
      <c r="A230" s="14" t="s">
        <v>92</v>
      </c>
      <c r="B230" s="14" t="s">
        <v>66</v>
      </c>
      <c r="C230" s="14" t="s">
        <v>67</v>
      </c>
      <c r="D230" s="14">
        <v>30</v>
      </c>
      <c r="E230" s="14">
        <v>50</v>
      </c>
      <c r="F230" s="14" t="s">
        <v>92</v>
      </c>
      <c r="G230" s="14">
        <v>1</v>
      </c>
      <c r="H230" s="14">
        <v>1</v>
      </c>
      <c r="I230" s="14">
        <v>5.7640206472593103E-2</v>
      </c>
      <c r="J230" s="14">
        <v>6.8420170986441903E-2</v>
      </c>
      <c r="K230" s="14">
        <v>4.1620977046307697E-2</v>
      </c>
      <c r="L230" s="14">
        <v>0</v>
      </c>
      <c r="Q230" s="14" t="s">
        <v>412</v>
      </c>
    </row>
    <row r="231" spans="1:17" x14ac:dyDescent="0.25">
      <c r="A231" s="14" t="s">
        <v>92</v>
      </c>
      <c r="B231" s="14" t="s">
        <v>66</v>
      </c>
      <c r="C231" s="14" t="s">
        <v>67</v>
      </c>
      <c r="D231" s="14">
        <v>30</v>
      </c>
      <c r="E231" s="14">
        <v>50</v>
      </c>
      <c r="F231" s="14" t="s">
        <v>93</v>
      </c>
      <c r="G231" s="14">
        <v>0</v>
      </c>
      <c r="H231" s="14">
        <v>1</v>
      </c>
      <c r="I231" s="14">
        <v>2.9585348889778099E-2</v>
      </c>
      <c r="J231" s="14">
        <v>2.9253538605703899E-2</v>
      </c>
      <c r="K231" s="14">
        <v>3.0599323896300101E-2</v>
      </c>
      <c r="L231" s="14">
        <v>0</v>
      </c>
      <c r="Q231" s="14" t="s">
        <v>413</v>
      </c>
    </row>
    <row r="232" spans="1:17" x14ac:dyDescent="0.25">
      <c r="A232" s="14" t="s">
        <v>92</v>
      </c>
      <c r="B232" s="14" t="s">
        <v>66</v>
      </c>
      <c r="C232" s="14" t="s">
        <v>67</v>
      </c>
      <c r="D232" s="14">
        <v>30</v>
      </c>
      <c r="E232" s="14">
        <v>50</v>
      </c>
      <c r="F232" s="14" t="s">
        <v>93</v>
      </c>
      <c r="G232" s="14">
        <v>1</v>
      </c>
      <c r="H232" s="14">
        <v>-1</v>
      </c>
      <c r="I232" s="14">
        <v>2.9585348889778099E-2</v>
      </c>
      <c r="J232" s="14">
        <v>2.9253538605703899E-2</v>
      </c>
      <c r="K232" s="14">
        <v>3.0599323896300101E-2</v>
      </c>
      <c r="L232" s="14">
        <v>0</v>
      </c>
      <c r="Q232" s="14" t="s">
        <v>414</v>
      </c>
    </row>
    <row r="233" spans="1:17" x14ac:dyDescent="0.25">
      <c r="A233" s="14" t="s">
        <v>92</v>
      </c>
      <c r="B233" s="14" t="s">
        <v>66</v>
      </c>
      <c r="C233" s="14" t="s">
        <v>67</v>
      </c>
      <c r="D233" s="14">
        <v>30</v>
      </c>
      <c r="E233" s="14">
        <v>50</v>
      </c>
      <c r="F233" s="14" t="s">
        <v>94</v>
      </c>
      <c r="G233" s="14">
        <v>0</v>
      </c>
      <c r="H233" s="14">
        <v>1</v>
      </c>
      <c r="I233" s="14">
        <v>4.6009393547918997E-2</v>
      </c>
      <c r="J233" s="14">
        <v>2.8697375994322101E-2</v>
      </c>
      <c r="K233" s="14">
        <v>6.3037160807880493E-2</v>
      </c>
      <c r="L233" s="14">
        <v>0</v>
      </c>
      <c r="Q233" s="14" t="s">
        <v>415</v>
      </c>
    </row>
    <row r="234" spans="1:17" x14ac:dyDescent="0.25">
      <c r="A234" s="14" t="s">
        <v>92</v>
      </c>
      <c r="B234" s="14" t="s">
        <v>66</v>
      </c>
      <c r="C234" s="14" t="s">
        <v>67</v>
      </c>
      <c r="D234" s="14">
        <v>30</v>
      </c>
      <c r="E234" s="14">
        <v>50</v>
      </c>
      <c r="F234" s="14" t="s">
        <v>94</v>
      </c>
      <c r="G234" s="14">
        <v>1</v>
      </c>
      <c r="H234" s="14">
        <v>-1</v>
      </c>
      <c r="I234" s="14">
        <v>0.11770818572127401</v>
      </c>
      <c r="J234" s="14">
        <v>4.8234040921384003E-2</v>
      </c>
      <c r="K234" s="14">
        <v>9.5509110087885193E-2</v>
      </c>
      <c r="L234" s="14">
        <v>0</v>
      </c>
      <c r="Q234" s="14" t="s">
        <v>416</v>
      </c>
    </row>
    <row r="235" spans="1:17" x14ac:dyDescent="0.25">
      <c r="A235" s="14" t="s">
        <v>92</v>
      </c>
      <c r="B235" s="14" t="s">
        <v>66</v>
      </c>
      <c r="C235" s="14" t="s">
        <v>67</v>
      </c>
      <c r="D235" s="14">
        <v>30</v>
      </c>
      <c r="E235" s="14">
        <v>98</v>
      </c>
      <c r="F235" s="14" t="s">
        <v>91</v>
      </c>
      <c r="G235" s="14">
        <v>0</v>
      </c>
      <c r="H235" s="14">
        <v>1</v>
      </c>
      <c r="I235" s="14">
        <v>8.7631255852022402E-2</v>
      </c>
      <c r="J235" s="14">
        <v>8.7017810594975806E-2</v>
      </c>
      <c r="K235" s="14">
        <v>9.0707444886096E-2</v>
      </c>
      <c r="L235" s="14">
        <v>0</v>
      </c>
      <c r="Q235" s="14" t="s">
        <v>417</v>
      </c>
    </row>
    <row r="236" spans="1:17" x14ac:dyDescent="0.25">
      <c r="A236" s="14" t="s">
        <v>92</v>
      </c>
      <c r="B236" s="14" t="s">
        <v>66</v>
      </c>
      <c r="C236" s="14" t="s">
        <v>67</v>
      </c>
      <c r="D236" s="14">
        <v>30</v>
      </c>
      <c r="E236" s="14">
        <v>98</v>
      </c>
      <c r="F236" s="14" t="s">
        <v>91</v>
      </c>
      <c r="G236" s="14">
        <v>1</v>
      </c>
      <c r="H236" s="14">
        <v>-1</v>
      </c>
      <c r="I236" s="14">
        <v>8.7631255852022402E-2</v>
      </c>
      <c r="J236" s="14">
        <v>8.7017810594975806E-2</v>
      </c>
      <c r="K236" s="14">
        <v>9.0707444886096E-2</v>
      </c>
      <c r="L236" s="14">
        <v>0</v>
      </c>
      <c r="Q236" s="14" t="s">
        <v>418</v>
      </c>
    </row>
    <row r="237" spans="1:17" x14ac:dyDescent="0.25">
      <c r="A237" s="14" t="s">
        <v>92</v>
      </c>
      <c r="B237" s="14" t="s">
        <v>66</v>
      </c>
      <c r="C237" s="14" t="s">
        <v>67</v>
      </c>
      <c r="D237" s="14">
        <v>30</v>
      </c>
      <c r="E237" s="14">
        <v>98</v>
      </c>
      <c r="F237" s="14" t="s">
        <v>65</v>
      </c>
      <c r="G237" s="14">
        <v>0</v>
      </c>
      <c r="H237" s="14">
        <v>-1</v>
      </c>
      <c r="I237" s="14">
        <v>6.57489584468781E-2</v>
      </c>
      <c r="J237" s="14">
        <v>7.5036253914422701E-2</v>
      </c>
      <c r="K237" s="14">
        <v>3.57723856464576E-2</v>
      </c>
      <c r="L237" s="14">
        <v>0</v>
      </c>
      <c r="Q237" s="14" t="s">
        <v>419</v>
      </c>
    </row>
    <row r="238" spans="1:17" x14ac:dyDescent="0.25">
      <c r="A238" s="14" t="s">
        <v>92</v>
      </c>
      <c r="B238" s="14" t="s">
        <v>66</v>
      </c>
      <c r="C238" s="14" t="s">
        <v>67</v>
      </c>
      <c r="D238" s="14">
        <v>30</v>
      </c>
      <c r="E238" s="14">
        <v>98</v>
      </c>
      <c r="F238" s="14" t="s">
        <v>65</v>
      </c>
      <c r="G238" s="14">
        <v>1</v>
      </c>
      <c r="H238" s="14">
        <v>-1</v>
      </c>
      <c r="I238" s="14">
        <v>4.9370104174814598E-2</v>
      </c>
      <c r="J238" s="14">
        <v>2.1914388420117899E-2</v>
      </c>
      <c r="K238" s="14">
        <v>6.9070760315018895E-2</v>
      </c>
      <c r="L238" s="14">
        <v>0</v>
      </c>
      <c r="Q238" s="14" t="s">
        <v>420</v>
      </c>
    </row>
    <row r="239" spans="1:17" x14ac:dyDescent="0.25">
      <c r="A239" s="14" t="s">
        <v>92</v>
      </c>
      <c r="B239" s="14" t="s">
        <v>66</v>
      </c>
      <c r="C239" s="14" t="s">
        <v>67</v>
      </c>
      <c r="D239" s="14">
        <v>30</v>
      </c>
      <c r="E239" s="14">
        <v>98</v>
      </c>
      <c r="F239" s="14" t="s">
        <v>92</v>
      </c>
      <c r="G239" s="14">
        <v>0</v>
      </c>
      <c r="H239" s="14">
        <v>1</v>
      </c>
      <c r="I239" s="14">
        <v>4.1603085713725401</v>
      </c>
      <c r="J239" s="14">
        <v>7.50362539144179E-2</v>
      </c>
      <c r="K239" s="14">
        <v>3.5772385646436103E-2</v>
      </c>
      <c r="L239" s="14">
        <v>4.1986357842348196</v>
      </c>
      <c r="Q239" s="14" t="s">
        <v>421</v>
      </c>
    </row>
    <row r="240" spans="1:17" x14ac:dyDescent="0.25">
      <c r="A240" s="14" t="s">
        <v>92</v>
      </c>
      <c r="B240" s="14" t="s">
        <v>66</v>
      </c>
      <c r="C240" s="14" t="s">
        <v>67</v>
      </c>
      <c r="D240" s="14">
        <v>30</v>
      </c>
      <c r="E240" s="14">
        <v>98</v>
      </c>
      <c r="F240" s="14" t="s">
        <v>92</v>
      </c>
      <c r="G240" s="14">
        <v>1</v>
      </c>
      <c r="H240" s="14">
        <v>1</v>
      </c>
      <c r="I240" s="14">
        <v>6.5748958447140404E-2</v>
      </c>
      <c r="J240" s="14">
        <v>7.5036253914634005E-2</v>
      </c>
      <c r="K240" s="14">
        <v>3.5772385646659799E-2</v>
      </c>
      <c r="L240" s="14">
        <v>0</v>
      </c>
      <c r="Q240" s="14" t="s">
        <v>422</v>
      </c>
    </row>
    <row r="241" spans="1:17" x14ac:dyDescent="0.25">
      <c r="A241" s="14" t="s">
        <v>92</v>
      </c>
      <c r="B241" s="14" t="s">
        <v>66</v>
      </c>
      <c r="C241" s="14" t="s">
        <v>67</v>
      </c>
      <c r="D241" s="14">
        <v>30</v>
      </c>
      <c r="E241" s="14">
        <v>98</v>
      </c>
      <c r="F241" s="14" t="s">
        <v>93</v>
      </c>
      <c r="G241" s="14">
        <v>0</v>
      </c>
      <c r="H241" s="14">
        <v>1</v>
      </c>
      <c r="I241" s="14">
        <v>2.9488772512879201E-2</v>
      </c>
      <c r="J241" s="14">
        <v>2.9282342199194102E-2</v>
      </c>
      <c r="K241" s="14">
        <v>3.05239401337291E-2</v>
      </c>
      <c r="L241" s="14">
        <v>0</v>
      </c>
      <c r="Q241" s="14" t="s">
        <v>423</v>
      </c>
    </row>
    <row r="242" spans="1:17" x14ac:dyDescent="0.25">
      <c r="A242" s="14" t="s">
        <v>92</v>
      </c>
      <c r="B242" s="14" t="s">
        <v>66</v>
      </c>
      <c r="C242" s="14" t="s">
        <v>67</v>
      </c>
      <c r="D242" s="14">
        <v>30</v>
      </c>
      <c r="E242" s="14">
        <v>98</v>
      </c>
      <c r="F242" s="14" t="s">
        <v>93</v>
      </c>
      <c r="G242" s="14">
        <v>1</v>
      </c>
      <c r="H242" s="14">
        <v>-1</v>
      </c>
      <c r="I242" s="14">
        <v>2.9488772512879201E-2</v>
      </c>
      <c r="J242" s="14">
        <v>2.9282342199194102E-2</v>
      </c>
      <c r="K242" s="14">
        <v>3.05239401337291E-2</v>
      </c>
      <c r="L242" s="14">
        <v>0</v>
      </c>
      <c r="Q242" s="14" t="s">
        <v>424</v>
      </c>
    </row>
    <row r="243" spans="1:17" x14ac:dyDescent="0.25">
      <c r="A243" s="14" t="s">
        <v>92</v>
      </c>
      <c r="B243" s="14" t="s">
        <v>66</v>
      </c>
      <c r="C243" s="14" t="s">
        <v>67</v>
      </c>
      <c r="D243" s="14">
        <v>30</v>
      </c>
      <c r="E243" s="14">
        <v>98</v>
      </c>
      <c r="F243" s="14" t="s">
        <v>94</v>
      </c>
      <c r="G243" s="14">
        <v>0</v>
      </c>
      <c r="H243" s="14">
        <v>1</v>
      </c>
      <c r="I243" s="14">
        <v>4.93701041748104E-2</v>
      </c>
      <c r="J243" s="14">
        <v>2.19143884201102E-2</v>
      </c>
      <c r="K243" s="14">
        <v>6.90707603150153E-2</v>
      </c>
      <c r="L243" s="14">
        <v>0</v>
      </c>
      <c r="Q243" s="14" t="s">
        <v>425</v>
      </c>
    </row>
    <row r="244" spans="1:17" x14ac:dyDescent="0.25">
      <c r="A244" s="14" t="s">
        <v>92</v>
      </c>
      <c r="B244" s="14" t="s">
        <v>66</v>
      </c>
      <c r="C244" s="14" t="s">
        <v>67</v>
      </c>
      <c r="D244" s="14">
        <v>30</v>
      </c>
      <c r="E244" s="14">
        <v>98</v>
      </c>
      <c r="F244" s="14" t="s">
        <v>94</v>
      </c>
      <c r="G244" s="14">
        <v>1</v>
      </c>
      <c r="H244" s="14">
        <v>-1</v>
      </c>
      <c r="I244" s="14">
        <v>0.13038722887536799</v>
      </c>
      <c r="J244" s="14">
        <v>3.60364667331389E-2</v>
      </c>
      <c r="K244" s="14">
        <v>9.9187282720609796E-2</v>
      </c>
      <c r="L244" s="14">
        <v>0</v>
      </c>
      <c r="Q244" s="14" t="s">
        <v>426</v>
      </c>
    </row>
    <row r="245" spans="1:17" x14ac:dyDescent="0.25">
      <c r="A245" s="14" t="s">
        <v>92</v>
      </c>
      <c r="B245" s="14" t="s">
        <v>66</v>
      </c>
      <c r="C245" s="14" t="s">
        <v>68</v>
      </c>
      <c r="D245" s="14">
        <v>0</v>
      </c>
      <c r="E245" s="14">
        <v>2</v>
      </c>
      <c r="F245" s="14" t="s">
        <v>91</v>
      </c>
      <c r="G245" s="14">
        <v>0</v>
      </c>
      <c r="H245" s="14">
        <v>1</v>
      </c>
      <c r="I245" s="14">
        <v>8.9217489842754794E-2</v>
      </c>
      <c r="J245" s="14">
        <v>4.5368605567428097E-2</v>
      </c>
      <c r="K245" s="14">
        <v>4.4126922256429398E-2</v>
      </c>
      <c r="L245" s="14">
        <v>0</v>
      </c>
      <c r="Q245" s="14" t="s">
        <v>427</v>
      </c>
    </row>
    <row r="246" spans="1:17" x14ac:dyDescent="0.25">
      <c r="A246" s="14" t="s">
        <v>92</v>
      </c>
      <c r="B246" s="14" t="s">
        <v>66</v>
      </c>
      <c r="C246" s="14" t="s">
        <v>68</v>
      </c>
      <c r="D246" s="14">
        <v>0</v>
      </c>
      <c r="E246" s="14">
        <v>2</v>
      </c>
      <c r="F246" s="14" t="s">
        <v>91</v>
      </c>
      <c r="G246" s="14">
        <v>1</v>
      </c>
      <c r="H246" s="14">
        <v>-1</v>
      </c>
      <c r="I246" s="14">
        <v>8.9217489842754794E-2</v>
      </c>
      <c r="J246" s="14">
        <v>4.5368605567428097E-2</v>
      </c>
      <c r="K246" s="14">
        <v>4.4126922256429398E-2</v>
      </c>
      <c r="L246" s="14">
        <v>0</v>
      </c>
      <c r="Q246" s="14" t="s">
        <v>428</v>
      </c>
    </row>
    <row r="247" spans="1:17" x14ac:dyDescent="0.25">
      <c r="A247" s="14" t="s">
        <v>92</v>
      </c>
      <c r="B247" s="14" t="s">
        <v>66</v>
      </c>
      <c r="C247" s="14" t="s">
        <v>68</v>
      </c>
      <c r="D247" s="14">
        <v>0</v>
      </c>
      <c r="E247" s="14">
        <v>2</v>
      </c>
      <c r="F247" s="14" t="s">
        <v>65</v>
      </c>
      <c r="G247" s="14">
        <v>0</v>
      </c>
      <c r="H247" s="14">
        <v>-1</v>
      </c>
      <c r="I247" s="14">
        <v>3.2044245976289201E-2</v>
      </c>
      <c r="J247" s="14">
        <v>0.20692751223141001</v>
      </c>
      <c r="K247" s="14">
        <v>0.238965078924609</v>
      </c>
      <c r="L247" s="14">
        <v>0</v>
      </c>
      <c r="Q247" s="14" t="s">
        <v>429</v>
      </c>
    </row>
    <row r="248" spans="1:17" x14ac:dyDescent="0.25">
      <c r="A248" s="14" t="s">
        <v>92</v>
      </c>
      <c r="B248" s="14" t="s">
        <v>66</v>
      </c>
      <c r="C248" s="14" t="s">
        <v>68</v>
      </c>
      <c r="D248" s="14">
        <v>0</v>
      </c>
      <c r="E248" s="14">
        <v>2</v>
      </c>
      <c r="F248" s="14" t="s">
        <v>65</v>
      </c>
      <c r="G248" s="14">
        <v>1</v>
      </c>
      <c r="H248" s="14">
        <v>1</v>
      </c>
      <c r="I248" s="14">
        <v>9.7692495437740196E-2</v>
      </c>
      <c r="J248" s="14">
        <v>0.221443331446118</v>
      </c>
      <c r="K248" s="14">
        <v>0.23272618179257701</v>
      </c>
      <c r="L248" s="14">
        <v>0</v>
      </c>
      <c r="Q248" s="14" t="s">
        <v>430</v>
      </c>
    </row>
    <row r="249" spans="1:17" x14ac:dyDescent="0.25">
      <c r="A249" s="14" t="s">
        <v>92</v>
      </c>
      <c r="B249" s="14" t="s">
        <v>66</v>
      </c>
      <c r="C249" s="14" t="s">
        <v>68</v>
      </c>
      <c r="D249" s="14">
        <v>0</v>
      </c>
      <c r="E249" s="14">
        <v>2</v>
      </c>
      <c r="F249" s="14" t="s">
        <v>92</v>
      </c>
      <c r="G249" s="14">
        <v>0</v>
      </c>
      <c r="H249" s="14">
        <v>1</v>
      </c>
      <c r="I249" s="14">
        <v>3.2044245976307999E-2</v>
      </c>
      <c r="J249" s="14">
        <v>44.228460044074197</v>
      </c>
      <c r="K249" s="14">
        <v>44.1965112377098</v>
      </c>
      <c r="L249" s="14">
        <v>0</v>
      </c>
      <c r="Q249" s="14" t="s">
        <v>431</v>
      </c>
    </row>
    <row r="250" spans="1:17" x14ac:dyDescent="0.25">
      <c r="A250" s="14" t="s">
        <v>92</v>
      </c>
      <c r="B250" s="14" t="s">
        <v>66</v>
      </c>
      <c r="C250" s="14" t="s">
        <v>68</v>
      </c>
      <c r="D250" s="14">
        <v>0</v>
      </c>
      <c r="E250" s="14">
        <v>2</v>
      </c>
      <c r="F250" s="14" t="s">
        <v>92</v>
      </c>
      <c r="G250" s="14">
        <v>1</v>
      </c>
      <c r="H250" s="14">
        <v>1</v>
      </c>
      <c r="I250" s="14">
        <v>3.2044245976284601E-2</v>
      </c>
      <c r="J250" s="14">
        <v>0.20692751223139999</v>
      </c>
      <c r="K250" s="14">
        <v>0.23896507892459501</v>
      </c>
      <c r="L250" s="14">
        <v>0</v>
      </c>
      <c r="Q250" s="14" t="s">
        <v>432</v>
      </c>
    </row>
    <row r="251" spans="1:17" x14ac:dyDescent="0.25">
      <c r="A251" s="14" t="s">
        <v>92</v>
      </c>
      <c r="B251" s="14" t="s">
        <v>66</v>
      </c>
      <c r="C251" s="14" t="s">
        <v>68</v>
      </c>
      <c r="D251" s="14">
        <v>0</v>
      </c>
      <c r="E251" s="14">
        <v>2</v>
      </c>
      <c r="F251" s="14" t="s">
        <v>93</v>
      </c>
      <c r="G251" s="14">
        <v>0</v>
      </c>
      <c r="H251" s="14">
        <v>1</v>
      </c>
      <c r="I251" s="14">
        <v>3.00225557258442E-2</v>
      </c>
      <c r="J251" s="14">
        <v>1.52669783834158E-2</v>
      </c>
      <c r="K251" s="14">
        <v>1.4849139835569999E-2</v>
      </c>
      <c r="L251" s="14">
        <v>0</v>
      </c>
      <c r="Q251" s="14" t="s">
        <v>433</v>
      </c>
    </row>
    <row r="252" spans="1:17" x14ac:dyDescent="0.25">
      <c r="A252" s="14" t="s">
        <v>92</v>
      </c>
      <c r="B252" s="14" t="s">
        <v>66</v>
      </c>
      <c r="C252" s="14" t="s">
        <v>68</v>
      </c>
      <c r="D252" s="14">
        <v>0</v>
      </c>
      <c r="E252" s="14">
        <v>2</v>
      </c>
      <c r="F252" s="14" t="s">
        <v>93</v>
      </c>
      <c r="G252" s="14">
        <v>1</v>
      </c>
      <c r="H252" s="14">
        <v>-1</v>
      </c>
      <c r="I252" s="14">
        <v>3.00225557258442E-2</v>
      </c>
      <c r="J252" s="14">
        <v>1.52669783834158E-2</v>
      </c>
      <c r="K252" s="14">
        <v>1.4849139835569999E-2</v>
      </c>
      <c r="L252" s="14">
        <v>0</v>
      </c>
      <c r="Q252" s="14" t="s">
        <v>434</v>
      </c>
    </row>
    <row r="253" spans="1:17" x14ac:dyDescent="0.25">
      <c r="A253" s="14" t="s">
        <v>92</v>
      </c>
      <c r="B253" s="14" t="s">
        <v>66</v>
      </c>
      <c r="C253" s="14" t="s">
        <v>68</v>
      </c>
      <c r="D253" s="14">
        <v>0</v>
      </c>
      <c r="E253" s="14">
        <v>2</v>
      </c>
      <c r="F253" s="14" t="s">
        <v>94</v>
      </c>
      <c r="G253" s="14">
        <v>0</v>
      </c>
      <c r="H253" s="14">
        <v>-1</v>
      </c>
      <c r="I253" s="14">
        <v>9.7692495437740598E-2</v>
      </c>
      <c r="J253" s="14">
        <v>0.22144333144610701</v>
      </c>
      <c r="K253" s="14">
        <v>0.23272618179256799</v>
      </c>
      <c r="L253" s="14">
        <v>0</v>
      </c>
      <c r="Q253" s="14" t="s">
        <v>435</v>
      </c>
    </row>
    <row r="254" spans="1:17" x14ac:dyDescent="0.25">
      <c r="A254" s="14" t="s">
        <v>92</v>
      </c>
      <c r="B254" s="14" t="s">
        <v>66</v>
      </c>
      <c r="C254" s="14" t="s">
        <v>68</v>
      </c>
      <c r="D254" s="14">
        <v>0</v>
      </c>
      <c r="E254" s="14">
        <v>2</v>
      </c>
      <c r="F254" s="14" t="s">
        <v>94</v>
      </c>
      <c r="G254" s="14">
        <v>1</v>
      </c>
      <c r="H254" s="14">
        <v>1</v>
      </c>
      <c r="I254" s="14">
        <v>0.30920655676591502</v>
      </c>
      <c r="J254" s="14">
        <v>0.27722737123753899</v>
      </c>
      <c r="K254" s="14">
        <v>0.49004470582534598</v>
      </c>
      <c r="L254" s="14">
        <v>0</v>
      </c>
      <c r="Q254" s="14" t="s">
        <v>436</v>
      </c>
    </row>
    <row r="255" spans="1:17" x14ac:dyDescent="0.25">
      <c r="A255" s="14" t="s">
        <v>92</v>
      </c>
      <c r="B255" s="14" t="s">
        <v>66</v>
      </c>
      <c r="C255" s="14" t="s">
        <v>68</v>
      </c>
      <c r="D255" s="14">
        <v>0</v>
      </c>
      <c r="E255" s="14">
        <v>50</v>
      </c>
      <c r="F255" s="14" t="s">
        <v>91</v>
      </c>
      <c r="G255" s="14">
        <v>0</v>
      </c>
      <c r="H255" s="14">
        <v>1</v>
      </c>
      <c r="I255" s="14">
        <v>8.9217022602522303E-2</v>
      </c>
      <c r="J255" s="14">
        <v>6.4121483052989203E-2</v>
      </c>
      <c r="K255" s="14">
        <v>5.9043715429775899E-2</v>
      </c>
      <c r="L255" s="14">
        <v>0</v>
      </c>
      <c r="Q255" s="14" t="s">
        <v>437</v>
      </c>
    </row>
    <row r="256" spans="1:17" x14ac:dyDescent="0.25">
      <c r="A256" s="14" t="s">
        <v>92</v>
      </c>
      <c r="B256" s="14" t="s">
        <v>66</v>
      </c>
      <c r="C256" s="14" t="s">
        <v>68</v>
      </c>
      <c r="D256" s="14">
        <v>0</v>
      </c>
      <c r="E256" s="14">
        <v>50</v>
      </c>
      <c r="F256" s="14" t="s">
        <v>91</v>
      </c>
      <c r="G256" s="14">
        <v>1</v>
      </c>
      <c r="H256" s="14">
        <v>-1</v>
      </c>
      <c r="I256" s="14">
        <v>8.9217022602522303E-2</v>
      </c>
      <c r="J256" s="14">
        <v>6.4121483052989203E-2</v>
      </c>
      <c r="K256" s="14">
        <v>5.9043715429775899E-2</v>
      </c>
      <c r="L256" s="14">
        <v>0</v>
      </c>
      <c r="Q256" s="14" t="s">
        <v>438</v>
      </c>
    </row>
    <row r="257" spans="1:17" x14ac:dyDescent="0.25">
      <c r="A257" s="14" t="s">
        <v>92</v>
      </c>
      <c r="B257" s="14" t="s">
        <v>66</v>
      </c>
      <c r="C257" s="14" t="s">
        <v>68</v>
      </c>
      <c r="D257" s="14">
        <v>0</v>
      </c>
      <c r="E257" s="14">
        <v>50</v>
      </c>
      <c r="F257" s="14" t="s">
        <v>65</v>
      </c>
      <c r="G257" s="14">
        <v>0</v>
      </c>
      <c r="H257" s="14">
        <v>-1</v>
      </c>
      <c r="I257" s="14">
        <v>3.2060981969092503E-2</v>
      </c>
      <c r="J257" s="14">
        <v>0.20793311770173301</v>
      </c>
      <c r="K257" s="14">
        <v>0.239991930656896</v>
      </c>
      <c r="L257" s="14">
        <v>0</v>
      </c>
      <c r="Q257" s="14" t="s">
        <v>439</v>
      </c>
    </row>
    <row r="258" spans="1:17" x14ac:dyDescent="0.25">
      <c r="A258" s="14" t="s">
        <v>92</v>
      </c>
      <c r="B258" s="14" t="s">
        <v>66</v>
      </c>
      <c r="C258" s="14" t="s">
        <v>68</v>
      </c>
      <c r="D258" s="14">
        <v>0</v>
      </c>
      <c r="E258" s="14">
        <v>50</v>
      </c>
      <c r="F258" s="14" t="s">
        <v>65</v>
      </c>
      <c r="G258" s="14">
        <v>1</v>
      </c>
      <c r="H258" s="14">
        <v>1</v>
      </c>
      <c r="I258" s="14">
        <v>9.7973242365503796E-2</v>
      </c>
      <c r="J258" s="14">
        <v>0.222864520730918</v>
      </c>
      <c r="K258" s="14">
        <v>0.234240514388457</v>
      </c>
      <c r="L258" s="14">
        <v>0</v>
      </c>
      <c r="Q258" s="14" t="s">
        <v>440</v>
      </c>
    </row>
    <row r="259" spans="1:17" x14ac:dyDescent="0.25">
      <c r="A259" s="14" t="s">
        <v>92</v>
      </c>
      <c r="B259" s="14" t="s">
        <v>66</v>
      </c>
      <c r="C259" s="14" t="s">
        <v>68</v>
      </c>
      <c r="D259" s="14">
        <v>0</v>
      </c>
      <c r="E259" s="14">
        <v>50</v>
      </c>
      <c r="F259" s="14" t="s">
        <v>92</v>
      </c>
      <c r="G259" s="14">
        <v>0</v>
      </c>
      <c r="H259" s="14">
        <v>1</v>
      </c>
      <c r="I259" s="14">
        <v>3.2060981969098699E-2</v>
      </c>
      <c r="J259" s="14">
        <v>21.033565745026401</v>
      </c>
      <c r="K259" s="14">
        <v>21.001514011808901</v>
      </c>
      <c r="L259" s="14">
        <v>0</v>
      </c>
      <c r="Q259" s="14" t="s">
        <v>441</v>
      </c>
    </row>
    <row r="260" spans="1:17" x14ac:dyDescent="0.25">
      <c r="A260" s="14" t="s">
        <v>92</v>
      </c>
      <c r="B260" s="14" t="s">
        <v>66</v>
      </c>
      <c r="C260" s="14" t="s">
        <v>68</v>
      </c>
      <c r="D260" s="14">
        <v>0</v>
      </c>
      <c r="E260" s="14">
        <v>50</v>
      </c>
      <c r="F260" s="14" t="s">
        <v>92</v>
      </c>
      <c r="G260" s="14">
        <v>1</v>
      </c>
      <c r="H260" s="14">
        <v>1</v>
      </c>
      <c r="I260" s="14">
        <v>3.2060981969095903E-2</v>
      </c>
      <c r="J260" s="14">
        <v>0.20793311770175099</v>
      </c>
      <c r="K260" s="14">
        <v>0.23999193065691801</v>
      </c>
      <c r="L260" s="14">
        <v>0</v>
      </c>
      <c r="Q260" s="14" t="s">
        <v>442</v>
      </c>
    </row>
    <row r="261" spans="1:17" x14ac:dyDescent="0.25">
      <c r="A261" s="14" t="s">
        <v>92</v>
      </c>
      <c r="B261" s="14" t="s">
        <v>66</v>
      </c>
      <c r="C261" s="14" t="s">
        <v>68</v>
      </c>
      <c r="D261" s="14">
        <v>0</v>
      </c>
      <c r="E261" s="14">
        <v>50</v>
      </c>
      <c r="F261" s="14" t="s">
        <v>93</v>
      </c>
      <c r="G261" s="14">
        <v>0</v>
      </c>
      <c r="H261" s="14">
        <v>1</v>
      </c>
      <c r="I261" s="14">
        <v>3.0022398494955801E-2</v>
      </c>
      <c r="J261" s="14">
        <v>2.15775046078455E-2</v>
      </c>
      <c r="K261" s="14">
        <v>1.9868786264619E-2</v>
      </c>
      <c r="L261" s="14">
        <v>0</v>
      </c>
      <c r="Q261" s="14" t="s">
        <v>443</v>
      </c>
    </row>
    <row r="262" spans="1:17" x14ac:dyDescent="0.25">
      <c r="A262" s="14" t="s">
        <v>92</v>
      </c>
      <c r="B262" s="14" t="s">
        <v>66</v>
      </c>
      <c r="C262" s="14" t="s">
        <v>68</v>
      </c>
      <c r="D262" s="14">
        <v>0</v>
      </c>
      <c r="E262" s="14">
        <v>50</v>
      </c>
      <c r="F262" s="14" t="s">
        <v>93</v>
      </c>
      <c r="G262" s="14">
        <v>1</v>
      </c>
      <c r="H262" s="14">
        <v>-1</v>
      </c>
      <c r="I262" s="14">
        <v>3.0022398494955801E-2</v>
      </c>
      <c r="J262" s="14">
        <v>2.15775046078455E-2</v>
      </c>
      <c r="K262" s="14">
        <v>1.9868786264619E-2</v>
      </c>
      <c r="L262" s="14">
        <v>0</v>
      </c>
      <c r="Q262" s="14" t="s">
        <v>444</v>
      </c>
    </row>
    <row r="263" spans="1:17" x14ac:dyDescent="0.25">
      <c r="A263" s="14" t="s">
        <v>92</v>
      </c>
      <c r="B263" s="14" t="s">
        <v>66</v>
      </c>
      <c r="C263" s="14" t="s">
        <v>68</v>
      </c>
      <c r="D263" s="14">
        <v>0</v>
      </c>
      <c r="E263" s="14">
        <v>50</v>
      </c>
      <c r="F263" s="14" t="s">
        <v>94</v>
      </c>
      <c r="G263" s="14">
        <v>0</v>
      </c>
      <c r="H263" s="14">
        <v>-1</v>
      </c>
      <c r="I263" s="14">
        <v>9.7973242365502297E-2</v>
      </c>
      <c r="J263" s="14">
        <v>0.222864520730922</v>
      </c>
      <c r="K263" s="14">
        <v>0.23424051438846399</v>
      </c>
      <c r="L263" s="14">
        <v>0</v>
      </c>
      <c r="Q263" s="14" t="s">
        <v>445</v>
      </c>
    </row>
    <row r="264" spans="1:17" x14ac:dyDescent="0.25">
      <c r="A264" s="14" t="s">
        <v>92</v>
      </c>
      <c r="B264" s="14" t="s">
        <v>66</v>
      </c>
      <c r="C264" s="14" t="s">
        <v>68</v>
      </c>
      <c r="D264" s="14">
        <v>0</v>
      </c>
      <c r="E264" s="14">
        <v>50</v>
      </c>
      <c r="F264" s="14" t="s">
        <v>94</v>
      </c>
      <c r="G264" s="14">
        <v>1</v>
      </c>
      <c r="H264" s="14">
        <v>1</v>
      </c>
      <c r="I264" s="14">
        <v>0.31096256446265802</v>
      </c>
      <c r="J264" s="14">
        <v>0.27868800641028202</v>
      </c>
      <c r="K264" s="14">
        <v>0.49329780100626403</v>
      </c>
      <c r="L264" s="14">
        <v>0</v>
      </c>
      <c r="Q264" s="14" t="s">
        <v>446</v>
      </c>
    </row>
    <row r="265" spans="1:17" x14ac:dyDescent="0.25">
      <c r="A265" s="14" t="s">
        <v>92</v>
      </c>
      <c r="B265" s="14" t="s">
        <v>66</v>
      </c>
      <c r="C265" s="14" t="s">
        <v>68</v>
      </c>
      <c r="D265" s="14">
        <v>0</v>
      </c>
      <c r="E265" s="14">
        <v>98</v>
      </c>
      <c r="F265" s="14" t="s">
        <v>91</v>
      </c>
      <c r="G265" s="14">
        <v>0</v>
      </c>
      <c r="H265" s="14">
        <v>1</v>
      </c>
      <c r="I265" s="14">
        <v>8.9216551075951403E-2</v>
      </c>
      <c r="J265" s="14">
        <v>7.2324477261043393E-2</v>
      </c>
      <c r="K265" s="14">
        <v>6.8610111719559996E-2</v>
      </c>
      <c r="L265" s="14">
        <v>0</v>
      </c>
      <c r="Q265" s="14" t="s">
        <v>447</v>
      </c>
    </row>
    <row r="266" spans="1:17" x14ac:dyDescent="0.25">
      <c r="A266" s="14" t="s">
        <v>92</v>
      </c>
      <c r="B266" s="14" t="s">
        <v>66</v>
      </c>
      <c r="C266" s="14" t="s">
        <v>68</v>
      </c>
      <c r="D266" s="14">
        <v>0</v>
      </c>
      <c r="E266" s="14">
        <v>98</v>
      </c>
      <c r="F266" s="14" t="s">
        <v>91</v>
      </c>
      <c r="G266" s="14">
        <v>1</v>
      </c>
      <c r="H266" s="14">
        <v>-1</v>
      </c>
      <c r="I266" s="14">
        <v>8.9216551075951403E-2</v>
      </c>
      <c r="J266" s="14">
        <v>7.2324477261043393E-2</v>
      </c>
      <c r="K266" s="14">
        <v>6.8610111719559996E-2</v>
      </c>
      <c r="L266" s="14">
        <v>0</v>
      </c>
      <c r="Q266" s="14" t="s">
        <v>448</v>
      </c>
    </row>
    <row r="267" spans="1:17" x14ac:dyDescent="0.25">
      <c r="A267" s="14" t="s">
        <v>92</v>
      </c>
      <c r="B267" s="14" t="s">
        <v>66</v>
      </c>
      <c r="C267" s="14" t="s">
        <v>68</v>
      </c>
      <c r="D267" s="14">
        <v>0</v>
      </c>
      <c r="E267" s="14">
        <v>98</v>
      </c>
      <c r="F267" s="14" t="s">
        <v>65</v>
      </c>
      <c r="G267" s="14">
        <v>0</v>
      </c>
      <c r="H267" s="14">
        <v>-1</v>
      </c>
      <c r="I267" s="14">
        <v>3.2080364266209603E-2</v>
      </c>
      <c r="J267" s="14">
        <v>0.20894803075326199</v>
      </c>
      <c r="K267" s="14">
        <v>0.24102827139185801</v>
      </c>
      <c r="L267" s="14">
        <v>0</v>
      </c>
      <c r="Q267" s="14" t="s">
        <v>449</v>
      </c>
    </row>
    <row r="268" spans="1:17" x14ac:dyDescent="0.25">
      <c r="A268" s="14" t="s">
        <v>92</v>
      </c>
      <c r="B268" s="14" t="s">
        <v>66</v>
      </c>
      <c r="C268" s="14" t="s">
        <v>68</v>
      </c>
      <c r="D268" s="14">
        <v>0</v>
      </c>
      <c r="E268" s="14">
        <v>98</v>
      </c>
      <c r="F268" s="14" t="s">
        <v>65</v>
      </c>
      <c r="G268" s="14">
        <v>1</v>
      </c>
      <c r="H268" s="14">
        <v>1</v>
      </c>
      <c r="I268" s="14">
        <v>9.8256561111133303E-2</v>
      </c>
      <c r="J268" s="14">
        <v>0.22429922814774</v>
      </c>
      <c r="K268" s="14">
        <v>0.235768719060723</v>
      </c>
      <c r="L268" s="14">
        <v>0</v>
      </c>
      <c r="Q268" s="14" t="s">
        <v>450</v>
      </c>
    </row>
    <row r="269" spans="1:17" x14ac:dyDescent="0.25">
      <c r="A269" s="14" t="s">
        <v>92</v>
      </c>
      <c r="B269" s="14" t="s">
        <v>66</v>
      </c>
      <c r="C269" s="14" t="s">
        <v>68</v>
      </c>
      <c r="D269" s="14">
        <v>0</v>
      </c>
      <c r="E269" s="14">
        <v>98</v>
      </c>
      <c r="F269" s="14" t="s">
        <v>92</v>
      </c>
      <c r="G269" s="14">
        <v>0</v>
      </c>
      <c r="H269" s="14">
        <v>1</v>
      </c>
      <c r="I269" s="14">
        <v>3.20803642662199E-2</v>
      </c>
      <c r="J269" s="14">
        <v>13.777405413510101</v>
      </c>
      <c r="K269" s="14">
        <v>13.745385952297999</v>
      </c>
      <c r="L269" s="14">
        <v>0</v>
      </c>
      <c r="Q269" s="14" t="s">
        <v>451</v>
      </c>
    </row>
    <row r="270" spans="1:17" x14ac:dyDescent="0.25">
      <c r="A270" s="14" t="s">
        <v>92</v>
      </c>
      <c r="B270" s="14" t="s">
        <v>66</v>
      </c>
      <c r="C270" s="14" t="s">
        <v>68</v>
      </c>
      <c r="D270" s="14">
        <v>0</v>
      </c>
      <c r="E270" s="14">
        <v>98</v>
      </c>
      <c r="F270" s="14" t="s">
        <v>92</v>
      </c>
      <c r="G270" s="14">
        <v>1</v>
      </c>
      <c r="H270" s="14">
        <v>1</v>
      </c>
      <c r="I270" s="14">
        <v>3.2080364266177698E-2</v>
      </c>
      <c r="J270" s="14">
        <v>0.20894803075342899</v>
      </c>
      <c r="K270" s="14">
        <v>0.24102827139199201</v>
      </c>
      <c r="L270" s="14">
        <v>0</v>
      </c>
      <c r="Q270" s="14" t="s">
        <v>452</v>
      </c>
    </row>
    <row r="271" spans="1:17" x14ac:dyDescent="0.25">
      <c r="A271" s="14" t="s">
        <v>92</v>
      </c>
      <c r="B271" s="14" t="s">
        <v>66</v>
      </c>
      <c r="C271" s="14" t="s">
        <v>68</v>
      </c>
      <c r="D271" s="14">
        <v>0</v>
      </c>
      <c r="E271" s="14">
        <v>98</v>
      </c>
      <c r="F271" s="14" t="s">
        <v>93</v>
      </c>
      <c r="G271" s="14">
        <v>0</v>
      </c>
      <c r="H271" s="14">
        <v>1</v>
      </c>
      <c r="I271" s="14">
        <v>3.00222398216612E-2</v>
      </c>
      <c r="J271" s="14">
        <v>2.4337892186156899E-2</v>
      </c>
      <c r="K271" s="14">
        <v>2.30879719445992E-2</v>
      </c>
      <c r="L271" s="14">
        <v>0</v>
      </c>
      <c r="Q271" s="14" t="s">
        <v>453</v>
      </c>
    </row>
    <row r="272" spans="1:17" x14ac:dyDescent="0.25">
      <c r="A272" s="14" t="s">
        <v>92</v>
      </c>
      <c r="B272" s="14" t="s">
        <v>66</v>
      </c>
      <c r="C272" s="14" t="s">
        <v>68</v>
      </c>
      <c r="D272" s="14">
        <v>0</v>
      </c>
      <c r="E272" s="14">
        <v>98</v>
      </c>
      <c r="F272" s="14" t="s">
        <v>93</v>
      </c>
      <c r="G272" s="14">
        <v>1</v>
      </c>
      <c r="H272" s="14">
        <v>-1</v>
      </c>
      <c r="I272" s="14">
        <v>3.00222398216612E-2</v>
      </c>
      <c r="J272" s="14">
        <v>2.4337892186156899E-2</v>
      </c>
      <c r="K272" s="14">
        <v>2.30879719445992E-2</v>
      </c>
      <c r="L272" s="14">
        <v>0</v>
      </c>
      <c r="Q272" s="14" t="s">
        <v>454</v>
      </c>
    </row>
    <row r="273" spans="1:17" x14ac:dyDescent="0.25">
      <c r="A273" s="14" t="s">
        <v>92</v>
      </c>
      <c r="B273" s="14" t="s">
        <v>66</v>
      </c>
      <c r="C273" s="14" t="s">
        <v>68</v>
      </c>
      <c r="D273" s="14">
        <v>0</v>
      </c>
      <c r="E273" s="14">
        <v>98</v>
      </c>
      <c r="F273" s="14" t="s">
        <v>94</v>
      </c>
      <c r="G273" s="14">
        <v>0</v>
      </c>
      <c r="H273" s="14">
        <v>-1</v>
      </c>
      <c r="I273" s="14">
        <v>9.8256561111125296E-2</v>
      </c>
      <c r="J273" s="14">
        <v>0.22429922814775499</v>
      </c>
      <c r="K273" s="14">
        <v>0.23576871906073499</v>
      </c>
      <c r="L273" s="14">
        <v>0</v>
      </c>
      <c r="Q273" s="14" t="s">
        <v>455</v>
      </c>
    </row>
    <row r="274" spans="1:17" x14ac:dyDescent="0.25">
      <c r="A274" s="14" t="s">
        <v>92</v>
      </c>
      <c r="B274" s="14" t="s">
        <v>66</v>
      </c>
      <c r="C274" s="14" t="s">
        <v>68</v>
      </c>
      <c r="D274" s="14">
        <v>0</v>
      </c>
      <c r="E274" s="14">
        <v>98</v>
      </c>
      <c r="F274" s="14" t="s">
        <v>94</v>
      </c>
      <c r="G274" s="14">
        <v>1</v>
      </c>
      <c r="H274" s="14">
        <v>1</v>
      </c>
      <c r="I274" s="14">
        <v>0.31273499862478699</v>
      </c>
      <c r="J274" s="14">
        <v>0.28016368188087798</v>
      </c>
      <c r="K274" s="14">
        <v>0.49658092826992001</v>
      </c>
      <c r="L274" s="14">
        <v>0</v>
      </c>
      <c r="Q274" s="14" t="s">
        <v>456</v>
      </c>
    </row>
    <row r="275" spans="1:17" x14ac:dyDescent="0.25">
      <c r="A275" s="14" t="s">
        <v>92</v>
      </c>
      <c r="B275" s="14" t="s">
        <v>66</v>
      </c>
      <c r="C275" s="14" t="s">
        <v>68</v>
      </c>
      <c r="D275" s="14">
        <v>5</v>
      </c>
      <c r="E275" s="14">
        <v>2</v>
      </c>
      <c r="F275" s="14" t="s">
        <v>91</v>
      </c>
      <c r="G275" s="14">
        <v>0</v>
      </c>
      <c r="H275" s="14">
        <v>1</v>
      </c>
      <c r="I275" s="14">
        <v>8.9264313475423795E-2</v>
      </c>
      <c r="J275" s="14">
        <v>8.5595596325901802E-2</v>
      </c>
      <c r="K275" s="14">
        <v>4.0031238409945498E-2</v>
      </c>
      <c r="L275" s="14">
        <v>0</v>
      </c>
      <c r="Q275" s="14" t="s">
        <v>457</v>
      </c>
    </row>
    <row r="276" spans="1:17" x14ac:dyDescent="0.25">
      <c r="A276" s="14" t="s">
        <v>92</v>
      </c>
      <c r="B276" s="14" t="s">
        <v>66</v>
      </c>
      <c r="C276" s="14" t="s">
        <v>68</v>
      </c>
      <c r="D276" s="14">
        <v>5</v>
      </c>
      <c r="E276" s="14">
        <v>2</v>
      </c>
      <c r="F276" s="14" t="s">
        <v>91</v>
      </c>
      <c r="G276" s="14">
        <v>1</v>
      </c>
      <c r="H276" s="14">
        <v>-1</v>
      </c>
      <c r="I276" s="14">
        <v>8.9264313475423795E-2</v>
      </c>
      <c r="J276" s="14">
        <v>8.5595596325901802E-2</v>
      </c>
      <c r="K276" s="14">
        <v>4.0031238409945498E-2</v>
      </c>
      <c r="L276" s="14">
        <v>0</v>
      </c>
      <c r="Q276" s="14" t="s">
        <v>458</v>
      </c>
    </row>
    <row r="277" spans="1:17" x14ac:dyDescent="0.25">
      <c r="A277" s="14" t="s">
        <v>92</v>
      </c>
      <c r="B277" s="14" t="s">
        <v>66</v>
      </c>
      <c r="C277" s="14" t="s">
        <v>68</v>
      </c>
      <c r="D277" s="14">
        <v>5</v>
      </c>
      <c r="E277" s="14">
        <v>2</v>
      </c>
      <c r="F277" s="14" t="s">
        <v>65</v>
      </c>
      <c r="G277" s="14">
        <v>0</v>
      </c>
      <c r="H277" s="14">
        <v>-1</v>
      </c>
      <c r="I277" s="14">
        <v>5.60925253316336E-2</v>
      </c>
      <c r="J277" s="14">
        <v>0.120051426175242</v>
      </c>
      <c r="K277" s="14">
        <v>0.176104682927745</v>
      </c>
      <c r="L277" s="14">
        <v>0</v>
      </c>
      <c r="Q277" s="14" t="s">
        <v>459</v>
      </c>
    </row>
    <row r="278" spans="1:17" x14ac:dyDescent="0.25">
      <c r="A278" s="14" t="s">
        <v>92</v>
      </c>
      <c r="B278" s="14" t="s">
        <v>66</v>
      </c>
      <c r="C278" s="14" t="s">
        <v>68</v>
      </c>
      <c r="D278" s="14">
        <v>5</v>
      </c>
      <c r="E278" s="14">
        <v>2</v>
      </c>
      <c r="F278" s="14" t="s">
        <v>65</v>
      </c>
      <c r="G278" s="14">
        <v>1</v>
      </c>
      <c r="H278" s="14">
        <v>1</v>
      </c>
      <c r="I278" s="14">
        <v>7.5607012421108996E-2</v>
      </c>
      <c r="J278" s="14">
        <v>0.17032401840237099</v>
      </c>
      <c r="K278" s="14">
        <v>0.13712966635169499</v>
      </c>
      <c r="L278" s="14">
        <v>0</v>
      </c>
      <c r="Q278" s="14" t="s">
        <v>460</v>
      </c>
    </row>
    <row r="279" spans="1:17" x14ac:dyDescent="0.25">
      <c r="A279" s="14" t="s">
        <v>92</v>
      </c>
      <c r="B279" s="14" t="s">
        <v>66</v>
      </c>
      <c r="C279" s="14" t="s">
        <v>68</v>
      </c>
      <c r="D279" s="14">
        <v>5</v>
      </c>
      <c r="E279" s="14">
        <v>2</v>
      </c>
      <c r="F279" s="14" t="s">
        <v>92</v>
      </c>
      <c r="G279" s="14">
        <v>0</v>
      </c>
      <c r="H279" s="14">
        <v>1</v>
      </c>
      <c r="I279" s="14">
        <v>5.6092525331663902E-2</v>
      </c>
      <c r="J279" s="14">
        <v>30.4426381803328</v>
      </c>
      <c r="K279" s="14">
        <v>30.386846796015998</v>
      </c>
      <c r="L279" s="14">
        <v>0</v>
      </c>
      <c r="Q279" s="14" t="s">
        <v>461</v>
      </c>
    </row>
    <row r="280" spans="1:17" x14ac:dyDescent="0.25">
      <c r="A280" s="14" t="s">
        <v>92</v>
      </c>
      <c r="B280" s="14" t="s">
        <v>66</v>
      </c>
      <c r="C280" s="14" t="s">
        <v>68</v>
      </c>
      <c r="D280" s="14">
        <v>5</v>
      </c>
      <c r="E280" s="14">
        <v>2</v>
      </c>
      <c r="F280" s="14" t="s">
        <v>92</v>
      </c>
      <c r="G280" s="14">
        <v>1</v>
      </c>
      <c r="H280" s="14">
        <v>1</v>
      </c>
      <c r="I280" s="14">
        <v>5.6092525331631199E-2</v>
      </c>
      <c r="J280" s="14">
        <v>0.120051426175231</v>
      </c>
      <c r="K280" s="14">
        <v>0.17610468292773099</v>
      </c>
      <c r="L280" s="14">
        <v>0</v>
      </c>
      <c r="Q280" s="14" t="s">
        <v>462</v>
      </c>
    </row>
    <row r="281" spans="1:17" x14ac:dyDescent="0.25">
      <c r="A281" s="14" t="s">
        <v>92</v>
      </c>
      <c r="B281" s="14" t="s">
        <v>66</v>
      </c>
      <c r="C281" s="14" t="s">
        <v>68</v>
      </c>
      <c r="D281" s="14">
        <v>5</v>
      </c>
      <c r="E281" s="14">
        <v>2</v>
      </c>
      <c r="F281" s="14" t="s">
        <v>93</v>
      </c>
      <c r="G281" s="14">
        <v>0</v>
      </c>
      <c r="H281" s="14">
        <v>1</v>
      </c>
      <c r="I281" s="14">
        <v>3.0038312335048001E-2</v>
      </c>
      <c r="J281" s="14">
        <v>2.8803753222724399E-2</v>
      </c>
      <c r="K281" s="14">
        <v>1.34709022642924E-2</v>
      </c>
      <c r="L281" s="14">
        <v>0</v>
      </c>
      <c r="Q281" s="14" t="s">
        <v>463</v>
      </c>
    </row>
    <row r="282" spans="1:17" x14ac:dyDescent="0.25">
      <c r="A282" s="14" t="s">
        <v>92</v>
      </c>
      <c r="B282" s="14" t="s">
        <v>66</v>
      </c>
      <c r="C282" s="14" t="s">
        <v>68</v>
      </c>
      <c r="D282" s="14">
        <v>5</v>
      </c>
      <c r="E282" s="14">
        <v>2</v>
      </c>
      <c r="F282" s="14" t="s">
        <v>93</v>
      </c>
      <c r="G282" s="14">
        <v>1</v>
      </c>
      <c r="H282" s="14">
        <v>-1</v>
      </c>
      <c r="I282" s="14">
        <v>3.0038312335048001E-2</v>
      </c>
      <c r="J282" s="14">
        <v>2.8803753222724399E-2</v>
      </c>
      <c r="K282" s="14">
        <v>1.34709022642924E-2</v>
      </c>
      <c r="L282" s="14">
        <v>0</v>
      </c>
      <c r="Q282" s="14" t="s">
        <v>464</v>
      </c>
    </row>
    <row r="283" spans="1:17" x14ac:dyDescent="0.25">
      <c r="A283" s="14" t="s">
        <v>92</v>
      </c>
      <c r="B283" s="14" t="s">
        <v>66</v>
      </c>
      <c r="C283" s="14" t="s">
        <v>68</v>
      </c>
      <c r="D283" s="14">
        <v>5</v>
      </c>
      <c r="E283" s="14">
        <v>2</v>
      </c>
      <c r="F283" s="14" t="s">
        <v>94</v>
      </c>
      <c r="G283" s="14">
        <v>0</v>
      </c>
      <c r="H283" s="14">
        <v>-1</v>
      </c>
      <c r="I283" s="14">
        <v>7.5607012421106706E-2</v>
      </c>
      <c r="J283" s="14">
        <v>0.170324018402365</v>
      </c>
      <c r="K283" s="14">
        <v>0.137129666351681</v>
      </c>
      <c r="L283" s="14">
        <v>0</v>
      </c>
      <c r="Q283" s="14" t="s">
        <v>465</v>
      </c>
    </row>
    <row r="284" spans="1:17" x14ac:dyDescent="0.25">
      <c r="A284" s="14" t="s">
        <v>92</v>
      </c>
      <c r="B284" s="14" t="s">
        <v>66</v>
      </c>
      <c r="C284" s="14" t="s">
        <v>68</v>
      </c>
      <c r="D284" s="14">
        <v>5</v>
      </c>
      <c r="E284" s="14">
        <v>2</v>
      </c>
      <c r="F284" s="14" t="s">
        <v>94</v>
      </c>
      <c r="G284" s="14">
        <v>1</v>
      </c>
      <c r="H284" s="14">
        <v>1</v>
      </c>
      <c r="I284" s="14">
        <v>0.15632292957979901</v>
      </c>
      <c r="J284" s="14">
        <v>0.24857013895247199</v>
      </c>
      <c r="K284" s="14">
        <v>0.33118905167011597</v>
      </c>
      <c r="L284" s="14">
        <v>0</v>
      </c>
      <c r="Q284" s="14" t="s">
        <v>466</v>
      </c>
    </row>
    <row r="285" spans="1:17" x14ac:dyDescent="0.25">
      <c r="A285" s="14" t="s">
        <v>92</v>
      </c>
      <c r="B285" s="14" t="s">
        <v>66</v>
      </c>
      <c r="C285" s="14" t="s">
        <v>68</v>
      </c>
      <c r="D285" s="14">
        <v>5</v>
      </c>
      <c r="E285" s="14">
        <v>50</v>
      </c>
      <c r="F285" s="14" t="s">
        <v>91</v>
      </c>
      <c r="G285" s="14">
        <v>0</v>
      </c>
      <c r="H285" s="14">
        <v>1</v>
      </c>
      <c r="I285" s="14">
        <v>8.9240868914942997E-2</v>
      </c>
      <c r="J285" s="14">
        <v>7.71500251830603E-2</v>
      </c>
      <c r="K285" s="14">
        <v>5.9689564502403203E-2</v>
      </c>
      <c r="L285" s="14">
        <v>0</v>
      </c>
      <c r="Q285" s="14" t="s">
        <v>467</v>
      </c>
    </row>
    <row r="286" spans="1:17" x14ac:dyDescent="0.25">
      <c r="A286" s="14" t="s">
        <v>92</v>
      </c>
      <c r="B286" s="14" t="s">
        <v>66</v>
      </c>
      <c r="C286" s="14" t="s">
        <v>68</v>
      </c>
      <c r="D286" s="14">
        <v>5</v>
      </c>
      <c r="E286" s="14">
        <v>50</v>
      </c>
      <c r="F286" s="14" t="s">
        <v>91</v>
      </c>
      <c r="G286" s="14">
        <v>1</v>
      </c>
      <c r="H286" s="14">
        <v>-1</v>
      </c>
      <c r="I286" s="14">
        <v>8.9240868914942997E-2</v>
      </c>
      <c r="J286" s="14">
        <v>7.71500251830603E-2</v>
      </c>
      <c r="K286" s="14">
        <v>5.9689564502403203E-2</v>
      </c>
      <c r="L286" s="14">
        <v>0</v>
      </c>
      <c r="Q286" s="14" t="s">
        <v>468</v>
      </c>
    </row>
    <row r="287" spans="1:17" x14ac:dyDescent="0.25">
      <c r="A287" s="14" t="s">
        <v>92</v>
      </c>
      <c r="B287" s="14" t="s">
        <v>66</v>
      </c>
      <c r="C287" s="14" t="s">
        <v>68</v>
      </c>
      <c r="D287" s="14">
        <v>5</v>
      </c>
      <c r="E287" s="14">
        <v>50</v>
      </c>
      <c r="F287" s="14" t="s">
        <v>65</v>
      </c>
      <c r="G287" s="14">
        <v>0</v>
      </c>
      <c r="H287" s="14">
        <v>-1</v>
      </c>
      <c r="I287" s="14">
        <v>4.7192257062266797E-2</v>
      </c>
      <c r="J287" s="14">
        <v>0.16327512002816899</v>
      </c>
      <c r="K287" s="14">
        <v>0.21045603430541501</v>
      </c>
      <c r="L287" s="14">
        <v>0</v>
      </c>
      <c r="Q287" s="14" t="s">
        <v>469</v>
      </c>
    </row>
    <row r="288" spans="1:17" x14ac:dyDescent="0.25">
      <c r="A288" s="14" t="s">
        <v>92</v>
      </c>
      <c r="B288" s="14" t="s">
        <v>66</v>
      </c>
      <c r="C288" s="14" t="s">
        <v>68</v>
      </c>
      <c r="D288" s="14">
        <v>5</v>
      </c>
      <c r="E288" s="14">
        <v>50</v>
      </c>
      <c r="F288" s="14" t="s">
        <v>65</v>
      </c>
      <c r="G288" s="14">
        <v>1</v>
      </c>
      <c r="H288" s="14">
        <v>1</v>
      </c>
      <c r="I288" s="14">
        <v>8.7424937342702402E-2</v>
      </c>
      <c r="J288" s="14">
        <v>0.19691404645147101</v>
      </c>
      <c r="K288" s="14">
        <v>0.18304686019453101</v>
      </c>
      <c r="L288" s="14">
        <v>0</v>
      </c>
      <c r="Q288" s="14" t="s">
        <v>470</v>
      </c>
    </row>
    <row r="289" spans="1:17" x14ac:dyDescent="0.25">
      <c r="A289" s="14" t="s">
        <v>92</v>
      </c>
      <c r="B289" s="14" t="s">
        <v>66</v>
      </c>
      <c r="C289" s="14" t="s">
        <v>68</v>
      </c>
      <c r="D289" s="14">
        <v>5</v>
      </c>
      <c r="E289" s="14">
        <v>50</v>
      </c>
      <c r="F289" s="14" t="s">
        <v>92</v>
      </c>
      <c r="G289" s="14">
        <v>0</v>
      </c>
      <c r="H289" s="14">
        <v>1</v>
      </c>
      <c r="I289" s="14">
        <v>4.7192257062272099E-2</v>
      </c>
      <c r="J289" s="14">
        <v>17.7856747456192</v>
      </c>
      <c r="K289" s="14">
        <v>17.738755401210199</v>
      </c>
      <c r="L289" s="14">
        <v>0</v>
      </c>
      <c r="Q289" s="14" t="s">
        <v>471</v>
      </c>
    </row>
    <row r="290" spans="1:17" x14ac:dyDescent="0.25">
      <c r="A290" s="14" t="s">
        <v>92</v>
      </c>
      <c r="B290" s="14" t="s">
        <v>66</v>
      </c>
      <c r="C290" s="14" t="s">
        <v>68</v>
      </c>
      <c r="D290" s="14">
        <v>5</v>
      </c>
      <c r="E290" s="14">
        <v>50</v>
      </c>
      <c r="F290" s="14" t="s">
        <v>92</v>
      </c>
      <c r="G290" s="14">
        <v>1</v>
      </c>
      <c r="H290" s="14">
        <v>1</v>
      </c>
      <c r="I290" s="14">
        <v>4.7192257062270399E-2</v>
      </c>
      <c r="J290" s="14">
        <v>0.16327512002818501</v>
      </c>
      <c r="K290" s="14">
        <v>0.210456034305434</v>
      </c>
      <c r="L290" s="14">
        <v>0</v>
      </c>
      <c r="Q290" s="14" t="s">
        <v>472</v>
      </c>
    </row>
    <row r="291" spans="1:17" x14ac:dyDescent="0.25">
      <c r="A291" s="14" t="s">
        <v>92</v>
      </c>
      <c r="B291" s="14" t="s">
        <v>66</v>
      </c>
      <c r="C291" s="14" t="s">
        <v>68</v>
      </c>
      <c r="D291" s="14">
        <v>5</v>
      </c>
      <c r="E291" s="14">
        <v>50</v>
      </c>
      <c r="F291" s="14" t="s">
        <v>93</v>
      </c>
      <c r="G291" s="14">
        <v>0</v>
      </c>
      <c r="H291" s="14">
        <v>1</v>
      </c>
      <c r="I291" s="14">
        <v>3.0030423011722401E-2</v>
      </c>
      <c r="J291" s="14">
        <v>2.5961736139306201E-2</v>
      </c>
      <c r="K291" s="14">
        <v>2.0086120778371099E-2</v>
      </c>
      <c r="L291" s="14">
        <v>0</v>
      </c>
      <c r="Q291" s="14" t="s">
        <v>473</v>
      </c>
    </row>
    <row r="292" spans="1:17" x14ac:dyDescent="0.25">
      <c r="A292" s="14" t="s">
        <v>92</v>
      </c>
      <c r="B292" s="14" t="s">
        <v>66</v>
      </c>
      <c r="C292" s="14" t="s">
        <v>68</v>
      </c>
      <c r="D292" s="14">
        <v>5</v>
      </c>
      <c r="E292" s="14">
        <v>50</v>
      </c>
      <c r="F292" s="14" t="s">
        <v>93</v>
      </c>
      <c r="G292" s="14">
        <v>1</v>
      </c>
      <c r="H292" s="14">
        <v>-1</v>
      </c>
      <c r="I292" s="14">
        <v>3.0030423011722401E-2</v>
      </c>
      <c r="J292" s="14">
        <v>2.5961736139306201E-2</v>
      </c>
      <c r="K292" s="14">
        <v>2.0086120778371099E-2</v>
      </c>
      <c r="L292" s="14">
        <v>0</v>
      </c>
      <c r="Q292" s="14" t="s">
        <v>474</v>
      </c>
    </row>
    <row r="293" spans="1:17" x14ac:dyDescent="0.25">
      <c r="A293" s="14" t="s">
        <v>92</v>
      </c>
      <c r="B293" s="14" t="s">
        <v>66</v>
      </c>
      <c r="C293" s="14" t="s">
        <v>68</v>
      </c>
      <c r="D293" s="14">
        <v>5</v>
      </c>
      <c r="E293" s="14">
        <v>50</v>
      </c>
      <c r="F293" s="14" t="s">
        <v>94</v>
      </c>
      <c r="G293" s="14">
        <v>0</v>
      </c>
      <c r="H293" s="14">
        <v>-1</v>
      </c>
      <c r="I293" s="14">
        <v>8.7424937342693299E-2</v>
      </c>
      <c r="J293" s="14">
        <v>0.19691404645147501</v>
      </c>
      <c r="K293" s="14">
        <v>0.183046860194538</v>
      </c>
      <c r="L293" s="14">
        <v>0</v>
      </c>
      <c r="Q293" s="14" t="s">
        <v>475</v>
      </c>
    </row>
    <row r="294" spans="1:17" x14ac:dyDescent="0.25">
      <c r="A294" s="14" t="s">
        <v>92</v>
      </c>
      <c r="B294" s="14" t="s">
        <v>66</v>
      </c>
      <c r="C294" s="14" t="s">
        <v>68</v>
      </c>
      <c r="D294" s="14">
        <v>5</v>
      </c>
      <c r="E294" s="14">
        <v>50</v>
      </c>
      <c r="F294" s="14" t="s">
        <v>94</v>
      </c>
      <c r="G294" s="14">
        <v>1</v>
      </c>
      <c r="H294" s="14">
        <v>1</v>
      </c>
      <c r="I294" s="14">
        <v>0.23042290038961599</v>
      </c>
      <c r="J294" s="14">
        <v>0.26903125671661898</v>
      </c>
      <c r="K294" s="14">
        <v>0.408692640648949</v>
      </c>
      <c r="L294" s="14">
        <v>0</v>
      </c>
      <c r="Q294" s="14" t="s">
        <v>476</v>
      </c>
    </row>
    <row r="295" spans="1:17" x14ac:dyDescent="0.25">
      <c r="A295" s="14" t="s">
        <v>92</v>
      </c>
      <c r="B295" s="14" t="s">
        <v>66</v>
      </c>
      <c r="C295" s="14" t="s">
        <v>68</v>
      </c>
      <c r="D295" s="14">
        <v>5</v>
      </c>
      <c r="E295" s="14">
        <v>98</v>
      </c>
      <c r="F295" s="14" t="s">
        <v>91</v>
      </c>
      <c r="G295" s="14">
        <v>0</v>
      </c>
      <c r="H295" s="14">
        <v>1</v>
      </c>
      <c r="I295" s="14">
        <v>8.9232030131431897E-2</v>
      </c>
      <c r="J295" s="14">
        <v>7.8187598303210606E-2</v>
      </c>
      <c r="K295" s="14">
        <v>6.8862078044557795E-2</v>
      </c>
      <c r="L295" s="14">
        <v>0</v>
      </c>
      <c r="Q295" s="14" t="s">
        <v>477</v>
      </c>
    </row>
    <row r="296" spans="1:17" x14ac:dyDescent="0.25">
      <c r="A296" s="14" t="s">
        <v>92</v>
      </c>
      <c r="B296" s="14" t="s">
        <v>66</v>
      </c>
      <c r="C296" s="14" t="s">
        <v>68</v>
      </c>
      <c r="D296" s="14">
        <v>5</v>
      </c>
      <c r="E296" s="14">
        <v>98</v>
      </c>
      <c r="F296" s="14" t="s">
        <v>91</v>
      </c>
      <c r="G296" s="14">
        <v>1</v>
      </c>
      <c r="H296" s="14">
        <v>-1</v>
      </c>
      <c r="I296" s="14">
        <v>8.9232030131431897E-2</v>
      </c>
      <c r="J296" s="14">
        <v>7.8187598303210606E-2</v>
      </c>
      <c r="K296" s="14">
        <v>6.8862078044557795E-2</v>
      </c>
      <c r="L296" s="14">
        <v>0</v>
      </c>
      <c r="Q296" s="14" t="s">
        <v>478</v>
      </c>
    </row>
    <row r="297" spans="1:17" x14ac:dyDescent="0.25">
      <c r="A297" s="14" t="s">
        <v>92</v>
      </c>
      <c r="B297" s="14" t="s">
        <v>66</v>
      </c>
      <c r="C297" s="14" t="s">
        <v>68</v>
      </c>
      <c r="D297" s="14">
        <v>5</v>
      </c>
      <c r="E297" s="14">
        <v>98</v>
      </c>
      <c r="F297" s="14" t="s">
        <v>65</v>
      </c>
      <c r="G297" s="14">
        <v>0</v>
      </c>
      <c r="H297" s="14">
        <v>-1</v>
      </c>
      <c r="I297" s="14">
        <v>4.2964078183732102E-2</v>
      </c>
      <c r="J297" s="14">
        <v>0.17936997083924</v>
      </c>
      <c r="K297" s="14">
        <v>0.22233081440948399</v>
      </c>
      <c r="L297" s="14">
        <v>0</v>
      </c>
      <c r="Q297" s="14" t="s">
        <v>479</v>
      </c>
    </row>
    <row r="298" spans="1:17" x14ac:dyDescent="0.25">
      <c r="A298" s="14" t="s">
        <v>92</v>
      </c>
      <c r="B298" s="14" t="s">
        <v>66</v>
      </c>
      <c r="C298" s="14" t="s">
        <v>68</v>
      </c>
      <c r="D298" s="14">
        <v>5</v>
      </c>
      <c r="E298" s="14">
        <v>98</v>
      </c>
      <c r="F298" s="14" t="s">
        <v>65</v>
      </c>
      <c r="G298" s="14">
        <v>1</v>
      </c>
      <c r="H298" s="14">
        <v>1</v>
      </c>
      <c r="I298" s="14">
        <v>9.1548615818969198E-2</v>
      </c>
      <c r="J298" s="14">
        <v>0.207277581050967</v>
      </c>
      <c r="K298" s="14">
        <v>0.20138031076170901</v>
      </c>
      <c r="L298" s="14">
        <v>0</v>
      </c>
      <c r="Q298" s="14" t="s">
        <v>480</v>
      </c>
    </row>
    <row r="299" spans="1:17" x14ac:dyDescent="0.25">
      <c r="A299" s="14" t="s">
        <v>92</v>
      </c>
      <c r="B299" s="14" t="s">
        <v>66</v>
      </c>
      <c r="C299" s="14" t="s">
        <v>68</v>
      </c>
      <c r="D299" s="14">
        <v>5</v>
      </c>
      <c r="E299" s="14">
        <v>98</v>
      </c>
      <c r="F299" s="14" t="s">
        <v>92</v>
      </c>
      <c r="G299" s="14">
        <v>0</v>
      </c>
      <c r="H299" s="14">
        <v>1</v>
      </c>
      <c r="I299" s="14">
        <v>4.2964078183739603E-2</v>
      </c>
      <c r="J299" s="14">
        <v>12.400887308778101</v>
      </c>
      <c r="K299" s="14">
        <v>12.3582013006413</v>
      </c>
      <c r="L299" s="14">
        <v>0</v>
      </c>
      <c r="Q299" s="14" t="s">
        <v>481</v>
      </c>
    </row>
    <row r="300" spans="1:17" x14ac:dyDescent="0.25">
      <c r="A300" s="14" t="s">
        <v>92</v>
      </c>
      <c r="B300" s="14" t="s">
        <v>66</v>
      </c>
      <c r="C300" s="14" t="s">
        <v>68</v>
      </c>
      <c r="D300" s="14">
        <v>5</v>
      </c>
      <c r="E300" s="14">
        <v>98</v>
      </c>
      <c r="F300" s="14" t="s">
        <v>92</v>
      </c>
      <c r="G300" s="14">
        <v>1</v>
      </c>
      <c r="H300" s="14">
        <v>1</v>
      </c>
      <c r="I300" s="14">
        <v>4.29640781836561E-2</v>
      </c>
      <c r="J300" s="14">
        <v>0.17936997083937201</v>
      </c>
      <c r="K300" s="14">
        <v>0.222330814409538</v>
      </c>
      <c r="L300" s="14">
        <v>0</v>
      </c>
      <c r="Q300" s="14" t="s">
        <v>482</v>
      </c>
    </row>
    <row r="301" spans="1:17" x14ac:dyDescent="0.25">
      <c r="A301" s="14" t="s">
        <v>92</v>
      </c>
      <c r="B301" s="14" t="s">
        <v>66</v>
      </c>
      <c r="C301" s="14" t="s">
        <v>68</v>
      </c>
      <c r="D301" s="14">
        <v>5</v>
      </c>
      <c r="E301" s="14">
        <v>98</v>
      </c>
      <c r="F301" s="14" t="s">
        <v>93</v>
      </c>
      <c r="G301" s="14">
        <v>0</v>
      </c>
      <c r="H301" s="14">
        <v>1</v>
      </c>
      <c r="I301" s="14">
        <v>3.00274486748408E-2</v>
      </c>
      <c r="J301" s="14">
        <v>2.6310889616662201E-2</v>
      </c>
      <c r="K301" s="14">
        <v>2.317276107111E-2</v>
      </c>
      <c r="L301" s="14">
        <v>0</v>
      </c>
      <c r="Q301" s="14" t="s">
        <v>483</v>
      </c>
    </row>
    <row r="302" spans="1:17" x14ac:dyDescent="0.25">
      <c r="A302" s="14" t="s">
        <v>92</v>
      </c>
      <c r="B302" s="14" t="s">
        <v>66</v>
      </c>
      <c r="C302" s="14" t="s">
        <v>68</v>
      </c>
      <c r="D302" s="14">
        <v>5</v>
      </c>
      <c r="E302" s="14">
        <v>98</v>
      </c>
      <c r="F302" s="14" t="s">
        <v>93</v>
      </c>
      <c r="G302" s="14">
        <v>1</v>
      </c>
      <c r="H302" s="14">
        <v>-1</v>
      </c>
      <c r="I302" s="14">
        <v>3.00274486748408E-2</v>
      </c>
      <c r="J302" s="14">
        <v>2.6310889616662201E-2</v>
      </c>
      <c r="K302" s="14">
        <v>2.317276107111E-2</v>
      </c>
      <c r="L302" s="14">
        <v>0</v>
      </c>
      <c r="Q302" s="14" t="s">
        <v>484</v>
      </c>
    </row>
    <row r="303" spans="1:17" x14ac:dyDescent="0.25">
      <c r="A303" s="14" t="s">
        <v>92</v>
      </c>
      <c r="B303" s="14" t="s">
        <v>66</v>
      </c>
      <c r="C303" s="14" t="s">
        <v>68</v>
      </c>
      <c r="D303" s="14">
        <v>5</v>
      </c>
      <c r="E303" s="14">
        <v>98</v>
      </c>
      <c r="F303" s="14" t="s">
        <v>94</v>
      </c>
      <c r="G303" s="14">
        <v>0</v>
      </c>
      <c r="H303" s="14">
        <v>-1</v>
      </c>
      <c r="I303" s="14">
        <v>9.1548615818960996E-2</v>
      </c>
      <c r="J303" s="14">
        <v>0.20727758105097399</v>
      </c>
      <c r="K303" s="14">
        <v>0.201380310761721</v>
      </c>
      <c r="L303" s="14">
        <v>0</v>
      </c>
      <c r="Q303" s="14" t="s">
        <v>485</v>
      </c>
    </row>
    <row r="304" spans="1:17" x14ac:dyDescent="0.25">
      <c r="A304" s="14" t="s">
        <v>92</v>
      </c>
      <c r="B304" s="14" t="s">
        <v>66</v>
      </c>
      <c r="C304" s="14" t="s">
        <v>68</v>
      </c>
      <c r="D304" s="14">
        <v>5</v>
      </c>
      <c r="E304" s="14">
        <v>98</v>
      </c>
      <c r="F304" s="14" t="s">
        <v>94</v>
      </c>
      <c r="G304" s="14">
        <v>1</v>
      </c>
      <c r="H304" s="14">
        <v>1</v>
      </c>
      <c r="I304" s="14">
        <v>0.25880671848651099</v>
      </c>
      <c r="J304" s="14">
        <v>0.27531936992531197</v>
      </c>
      <c r="K304" s="14">
        <v>0.43993747685233803</v>
      </c>
      <c r="L304" s="14">
        <v>0</v>
      </c>
      <c r="Q304" s="14" t="s">
        <v>486</v>
      </c>
    </row>
    <row r="305" spans="1:17" x14ac:dyDescent="0.25">
      <c r="A305" s="14" t="s">
        <v>92</v>
      </c>
      <c r="B305" s="14" t="s">
        <v>66</v>
      </c>
      <c r="C305" s="14" t="s">
        <v>68</v>
      </c>
      <c r="D305" s="14">
        <v>10</v>
      </c>
      <c r="E305" s="14">
        <v>2</v>
      </c>
      <c r="F305" s="14" t="s">
        <v>91</v>
      </c>
      <c r="G305" s="14">
        <v>0</v>
      </c>
      <c r="H305" s="14">
        <v>1</v>
      </c>
      <c r="I305" s="14">
        <v>8.9285603634982905E-2</v>
      </c>
      <c r="J305" s="14">
        <v>9.2846133809695003E-2</v>
      </c>
      <c r="K305" s="14">
        <v>6.1006488268470403E-2</v>
      </c>
      <c r="L305" s="14">
        <v>0</v>
      </c>
      <c r="Q305" s="14" t="s">
        <v>487</v>
      </c>
    </row>
    <row r="306" spans="1:17" x14ac:dyDescent="0.25">
      <c r="A306" s="14" t="s">
        <v>92</v>
      </c>
      <c r="B306" s="14" t="s">
        <v>66</v>
      </c>
      <c r="C306" s="14" t="s">
        <v>68</v>
      </c>
      <c r="D306" s="14">
        <v>10</v>
      </c>
      <c r="E306" s="14">
        <v>2</v>
      </c>
      <c r="F306" s="14" t="s">
        <v>91</v>
      </c>
      <c r="G306" s="14">
        <v>1</v>
      </c>
      <c r="H306" s="14">
        <v>-1</v>
      </c>
      <c r="I306" s="14">
        <v>8.9285603634982905E-2</v>
      </c>
      <c r="J306" s="14">
        <v>9.2846133809695003E-2</v>
      </c>
      <c r="K306" s="14">
        <v>6.1006488268470403E-2</v>
      </c>
      <c r="L306" s="14">
        <v>0</v>
      </c>
      <c r="Q306" s="14" t="s">
        <v>488</v>
      </c>
    </row>
    <row r="307" spans="1:17" x14ac:dyDescent="0.25">
      <c r="A307" s="14" t="s">
        <v>92</v>
      </c>
      <c r="B307" s="14" t="s">
        <v>66</v>
      </c>
      <c r="C307" s="14" t="s">
        <v>68</v>
      </c>
      <c r="D307" s="14">
        <v>10</v>
      </c>
      <c r="E307" s="14">
        <v>2</v>
      </c>
      <c r="F307" s="14" t="s">
        <v>65</v>
      </c>
      <c r="G307" s="14">
        <v>0</v>
      </c>
      <c r="H307" s="14">
        <v>-1</v>
      </c>
      <c r="I307" s="14">
        <v>5.9392925932552097E-2</v>
      </c>
      <c r="J307" s="14">
        <v>6.8666906127488006E-2</v>
      </c>
      <c r="K307" s="14">
        <v>0.126816257886428</v>
      </c>
      <c r="L307" s="14">
        <v>0</v>
      </c>
      <c r="Q307" s="14" t="s">
        <v>489</v>
      </c>
    </row>
    <row r="308" spans="1:17" x14ac:dyDescent="0.25">
      <c r="A308" s="14" t="s">
        <v>92</v>
      </c>
      <c r="B308" s="14" t="s">
        <v>66</v>
      </c>
      <c r="C308" s="14" t="s">
        <v>68</v>
      </c>
      <c r="D308" s="14">
        <v>10</v>
      </c>
      <c r="E308" s="14">
        <v>2</v>
      </c>
      <c r="F308" s="14" t="s">
        <v>65</v>
      </c>
      <c r="G308" s="14">
        <v>1</v>
      </c>
      <c r="H308" s="14">
        <v>-1</v>
      </c>
      <c r="I308" s="14">
        <v>6.1372978401580597E-2</v>
      </c>
      <c r="J308" s="14">
        <v>0.12554877327637501</v>
      </c>
      <c r="K308" s="14">
        <v>7.7112195900741795E-2</v>
      </c>
      <c r="L308" s="14">
        <v>0</v>
      </c>
      <c r="Q308" s="14" t="s">
        <v>490</v>
      </c>
    </row>
    <row r="309" spans="1:17" x14ac:dyDescent="0.25">
      <c r="A309" s="14" t="s">
        <v>92</v>
      </c>
      <c r="B309" s="14" t="s">
        <v>66</v>
      </c>
      <c r="C309" s="14" t="s">
        <v>68</v>
      </c>
      <c r="D309" s="14">
        <v>10</v>
      </c>
      <c r="E309" s="14">
        <v>2</v>
      </c>
      <c r="F309" s="14" t="s">
        <v>92</v>
      </c>
      <c r="G309" s="14">
        <v>0</v>
      </c>
      <c r="H309" s="14">
        <v>1</v>
      </c>
      <c r="I309" s="14">
        <v>5.9392925932426302E-2</v>
      </c>
      <c r="J309" s="14">
        <v>19.974826983829999</v>
      </c>
      <c r="K309" s="14">
        <v>19.916084896936599</v>
      </c>
      <c r="L309" s="14">
        <v>0</v>
      </c>
      <c r="Q309" s="14" t="s">
        <v>491</v>
      </c>
    </row>
    <row r="310" spans="1:17" x14ac:dyDescent="0.25">
      <c r="A310" s="14" t="s">
        <v>92</v>
      </c>
      <c r="B310" s="14" t="s">
        <v>66</v>
      </c>
      <c r="C310" s="14" t="s">
        <v>68</v>
      </c>
      <c r="D310" s="14">
        <v>10</v>
      </c>
      <c r="E310" s="14">
        <v>2</v>
      </c>
      <c r="F310" s="14" t="s">
        <v>92</v>
      </c>
      <c r="G310" s="14">
        <v>1</v>
      </c>
      <c r="H310" s="14">
        <v>1</v>
      </c>
      <c r="I310" s="14">
        <v>5.9392925932547802E-2</v>
      </c>
      <c r="J310" s="14">
        <v>6.8666906127490906E-2</v>
      </c>
      <c r="K310" s="14">
        <v>0.126816257886425</v>
      </c>
      <c r="L310" s="14">
        <v>0</v>
      </c>
      <c r="Q310" s="14" t="s">
        <v>492</v>
      </c>
    </row>
    <row r="311" spans="1:17" x14ac:dyDescent="0.25">
      <c r="A311" s="14" t="s">
        <v>92</v>
      </c>
      <c r="B311" s="14" t="s">
        <v>66</v>
      </c>
      <c r="C311" s="14" t="s">
        <v>68</v>
      </c>
      <c r="D311" s="14">
        <v>10</v>
      </c>
      <c r="E311" s="14">
        <v>2</v>
      </c>
      <c r="F311" s="14" t="s">
        <v>93</v>
      </c>
      <c r="G311" s="14">
        <v>0</v>
      </c>
      <c r="H311" s="14">
        <v>1</v>
      </c>
      <c r="I311" s="14">
        <v>3.0045476681439E-2</v>
      </c>
      <c r="J311" s="14">
        <v>3.12436298212804E-2</v>
      </c>
      <c r="K311" s="14">
        <v>2.0529278473381998E-2</v>
      </c>
      <c r="L311" s="14">
        <v>0</v>
      </c>
      <c r="Q311" s="14" t="s">
        <v>493</v>
      </c>
    </row>
    <row r="312" spans="1:17" x14ac:dyDescent="0.25">
      <c r="A312" s="14" t="s">
        <v>92</v>
      </c>
      <c r="B312" s="14" t="s">
        <v>66</v>
      </c>
      <c r="C312" s="14" t="s">
        <v>68</v>
      </c>
      <c r="D312" s="14">
        <v>10</v>
      </c>
      <c r="E312" s="14">
        <v>2</v>
      </c>
      <c r="F312" s="14" t="s">
        <v>93</v>
      </c>
      <c r="G312" s="14">
        <v>1</v>
      </c>
      <c r="H312" s="14">
        <v>-1</v>
      </c>
      <c r="I312" s="14">
        <v>3.0045476681439E-2</v>
      </c>
      <c r="J312" s="14">
        <v>3.12436298212804E-2</v>
      </c>
      <c r="K312" s="14">
        <v>2.0529278473381998E-2</v>
      </c>
      <c r="L312" s="14">
        <v>0</v>
      </c>
      <c r="Q312" s="14" t="s">
        <v>494</v>
      </c>
    </row>
    <row r="313" spans="1:17" x14ac:dyDescent="0.25">
      <c r="A313" s="14" t="s">
        <v>92</v>
      </c>
      <c r="B313" s="14" t="s">
        <v>66</v>
      </c>
      <c r="C313" s="14" t="s">
        <v>68</v>
      </c>
      <c r="D313" s="14">
        <v>10</v>
      </c>
      <c r="E313" s="14">
        <v>2</v>
      </c>
      <c r="F313" s="14" t="s">
        <v>94</v>
      </c>
      <c r="G313" s="14">
        <v>0</v>
      </c>
      <c r="H313" s="14">
        <v>1</v>
      </c>
      <c r="I313" s="14">
        <v>6.1372978401583997E-2</v>
      </c>
      <c r="J313" s="14">
        <v>0.12554877327637901</v>
      </c>
      <c r="K313" s="14">
        <v>7.7112195900733399E-2</v>
      </c>
      <c r="L313" s="14">
        <v>0</v>
      </c>
      <c r="Q313" s="14" t="s">
        <v>495</v>
      </c>
    </row>
    <row r="314" spans="1:17" x14ac:dyDescent="0.25">
      <c r="A314" s="14" t="s">
        <v>92</v>
      </c>
      <c r="B314" s="14" t="s">
        <v>66</v>
      </c>
      <c r="C314" s="14" t="s">
        <v>68</v>
      </c>
      <c r="D314" s="14">
        <v>10</v>
      </c>
      <c r="E314" s="14">
        <v>2</v>
      </c>
      <c r="F314" s="14" t="s">
        <v>94</v>
      </c>
      <c r="G314" s="14">
        <v>1</v>
      </c>
      <c r="H314" s="14">
        <v>1</v>
      </c>
      <c r="I314" s="14">
        <v>6.6850509844981906E-2</v>
      </c>
      <c r="J314" s="14">
        <v>0.20098183599710101</v>
      </c>
      <c r="K314" s="14">
        <v>0.21993324954736199</v>
      </c>
      <c r="L314" s="14">
        <v>0</v>
      </c>
      <c r="Q314" s="14" t="s">
        <v>496</v>
      </c>
    </row>
    <row r="315" spans="1:17" x14ac:dyDescent="0.25">
      <c r="A315" s="14" t="s">
        <v>92</v>
      </c>
      <c r="B315" s="14" t="s">
        <v>66</v>
      </c>
      <c r="C315" s="14" t="s">
        <v>68</v>
      </c>
      <c r="D315" s="14">
        <v>10</v>
      </c>
      <c r="E315" s="14">
        <v>50</v>
      </c>
      <c r="F315" s="14" t="s">
        <v>91</v>
      </c>
      <c r="G315" s="14">
        <v>0</v>
      </c>
      <c r="H315" s="14">
        <v>1</v>
      </c>
      <c r="I315" s="14">
        <v>8.9261941185340005E-2</v>
      </c>
      <c r="J315" s="14">
        <v>8.4558370007751807E-2</v>
      </c>
      <c r="K315" s="14">
        <v>6.6145840240303497E-2</v>
      </c>
      <c r="L315" s="14">
        <v>0</v>
      </c>
      <c r="Q315" s="14" t="s">
        <v>497</v>
      </c>
    </row>
    <row r="316" spans="1:17" x14ac:dyDescent="0.25">
      <c r="A316" s="14" t="s">
        <v>92</v>
      </c>
      <c r="B316" s="14" t="s">
        <v>66</v>
      </c>
      <c r="C316" s="14" t="s">
        <v>68</v>
      </c>
      <c r="D316" s="14">
        <v>10</v>
      </c>
      <c r="E316" s="14">
        <v>50</v>
      </c>
      <c r="F316" s="14" t="s">
        <v>91</v>
      </c>
      <c r="G316" s="14">
        <v>1</v>
      </c>
      <c r="H316" s="14">
        <v>-1</v>
      </c>
      <c r="I316" s="14">
        <v>8.9261941185340005E-2</v>
      </c>
      <c r="J316" s="14">
        <v>8.4558370007751807E-2</v>
      </c>
      <c r="K316" s="14">
        <v>6.6145840240303497E-2</v>
      </c>
      <c r="L316" s="14">
        <v>0</v>
      </c>
      <c r="Q316" s="14" t="s">
        <v>498</v>
      </c>
    </row>
    <row r="317" spans="1:17" x14ac:dyDescent="0.25">
      <c r="A317" s="14" t="s">
        <v>92</v>
      </c>
      <c r="B317" s="14" t="s">
        <v>66</v>
      </c>
      <c r="C317" s="14" t="s">
        <v>68</v>
      </c>
      <c r="D317" s="14">
        <v>10</v>
      </c>
      <c r="E317" s="14">
        <v>50</v>
      </c>
      <c r="F317" s="14" t="s">
        <v>65</v>
      </c>
      <c r="G317" s="14">
        <v>0</v>
      </c>
      <c r="H317" s="14">
        <v>-1</v>
      </c>
      <c r="I317" s="14">
        <v>5.3962157508263997E-2</v>
      </c>
      <c r="J317" s="14">
        <v>0.12210369782646401</v>
      </c>
      <c r="K317" s="14">
        <v>0.175874304761304</v>
      </c>
      <c r="L317" s="14">
        <v>0</v>
      </c>
      <c r="Q317" s="14" t="s">
        <v>499</v>
      </c>
    </row>
    <row r="318" spans="1:17" x14ac:dyDescent="0.25">
      <c r="A318" s="14" t="s">
        <v>92</v>
      </c>
      <c r="B318" s="14" t="s">
        <v>66</v>
      </c>
      <c r="C318" s="14" t="s">
        <v>68</v>
      </c>
      <c r="D318" s="14">
        <v>10</v>
      </c>
      <c r="E318" s="14">
        <v>50</v>
      </c>
      <c r="F318" s="14" t="s">
        <v>65</v>
      </c>
      <c r="G318" s="14">
        <v>1</v>
      </c>
      <c r="H318" s="14">
        <v>1</v>
      </c>
      <c r="I318" s="14">
        <v>7.6213657126638898E-2</v>
      </c>
      <c r="J318" s="14">
        <v>0.165431021525144</v>
      </c>
      <c r="K318" s="14">
        <v>0.13505404058960399</v>
      </c>
      <c r="L318" s="14">
        <v>0</v>
      </c>
      <c r="Q318" s="14" t="s">
        <v>500</v>
      </c>
    </row>
    <row r="319" spans="1:17" x14ac:dyDescent="0.25">
      <c r="A319" s="14" t="s">
        <v>92</v>
      </c>
      <c r="B319" s="14" t="s">
        <v>66</v>
      </c>
      <c r="C319" s="14" t="s">
        <v>68</v>
      </c>
      <c r="D319" s="14">
        <v>10</v>
      </c>
      <c r="E319" s="14">
        <v>50</v>
      </c>
      <c r="F319" s="14" t="s">
        <v>92</v>
      </c>
      <c r="G319" s="14">
        <v>0</v>
      </c>
      <c r="H319" s="14">
        <v>1</v>
      </c>
      <c r="I319" s="14">
        <v>5.3962157508272997E-2</v>
      </c>
      <c r="J319" s="14">
        <v>14.2454620405586</v>
      </c>
      <c r="K319" s="14">
        <v>14.192040902407101</v>
      </c>
      <c r="L319" s="14">
        <v>0</v>
      </c>
      <c r="Q319" s="14" t="s">
        <v>501</v>
      </c>
    </row>
    <row r="320" spans="1:17" x14ac:dyDescent="0.25">
      <c r="A320" s="14" t="s">
        <v>92</v>
      </c>
      <c r="B320" s="14" t="s">
        <v>66</v>
      </c>
      <c r="C320" s="14" t="s">
        <v>68</v>
      </c>
      <c r="D320" s="14">
        <v>10</v>
      </c>
      <c r="E320" s="14">
        <v>50</v>
      </c>
      <c r="F320" s="14" t="s">
        <v>92</v>
      </c>
      <c r="G320" s="14">
        <v>1</v>
      </c>
      <c r="H320" s="14">
        <v>1</v>
      </c>
      <c r="I320" s="14">
        <v>5.3962157508270797E-2</v>
      </c>
      <c r="J320" s="14">
        <v>0.12210369782647</v>
      </c>
      <c r="K320" s="14">
        <v>0.17587430476131599</v>
      </c>
      <c r="L320" s="14">
        <v>0</v>
      </c>
      <c r="Q320" s="14" t="s">
        <v>502</v>
      </c>
    </row>
    <row r="321" spans="1:17" x14ac:dyDescent="0.25">
      <c r="A321" s="14" t="s">
        <v>92</v>
      </c>
      <c r="B321" s="14" t="s">
        <v>66</v>
      </c>
      <c r="C321" s="14" t="s">
        <v>68</v>
      </c>
      <c r="D321" s="14">
        <v>10</v>
      </c>
      <c r="E321" s="14">
        <v>50</v>
      </c>
      <c r="F321" s="14" t="s">
        <v>93</v>
      </c>
      <c r="G321" s="14">
        <v>0</v>
      </c>
      <c r="H321" s="14">
        <v>1</v>
      </c>
      <c r="I321" s="14">
        <v>3.0037514036289101E-2</v>
      </c>
      <c r="J321" s="14">
        <v>2.8454716447626899E-2</v>
      </c>
      <c r="K321" s="14">
        <v>2.2258720550729302E-2</v>
      </c>
      <c r="L321" s="14">
        <v>0</v>
      </c>
      <c r="Q321" s="14" t="s">
        <v>503</v>
      </c>
    </row>
    <row r="322" spans="1:17" x14ac:dyDescent="0.25">
      <c r="A322" s="14" t="s">
        <v>92</v>
      </c>
      <c r="B322" s="14" t="s">
        <v>66</v>
      </c>
      <c r="C322" s="14" t="s">
        <v>68</v>
      </c>
      <c r="D322" s="14">
        <v>10</v>
      </c>
      <c r="E322" s="14">
        <v>50</v>
      </c>
      <c r="F322" s="14" t="s">
        <v>93</v>
      </c>
      <c r="G322" s="14">
        <v>1</v>
      </c>
      <c r="H322" s="14">
        <v>-1</v>
      </c>
      <c r="I322" s="14">
        <v>3.0037514036289101E-2</v>
      </c>
      <c r="J322" s="14">
        <v>2.8454716447626899E-2</v>
      </c>
      <c r="K322" s="14">
        <v>2.2258720550729302E-2</v>
      </c>
      <c r="L322" s="14">
        <v>0</v>
      </c>
      <c r="Q322" s="14" t="s">
        <v>504</v>
      </c>
    </row>
    <row r="323" spans="1:17" x14ac:dyDescent="0.25">
      <c r="A323" s="14" t="s">
        <v>92</v>
      </c>
      <c r="B323" s="14" t="s">
        <v>66</v>
      </c>
      <c r="C323" s="14" t="s">
        <v>68</v>
      </c>
      <c r="D323" s="14">
        <v>10</v>
      </c>
      <c r="E323" s="14">
        <v>50</v>
      </c>
      <c r="F323" s="14" t="s">
        <v>94</v>
      </c>
      <c r="G323" s="14">
        <v>0</v>
      </c>
      <c r="H323" s="14">
        <v>-1</v>
      </c>
      <c r="I323" s="14">
        <v>7.6213657126639203E-2</v>
      </c>
      <c r="J323" s="14">
        <v>0.165431021525144</v>
      </c>
      <c r="K323" s="14">
        <v>0.135054040589598</v>
      </c>
      <c r="L323" s="14">
        <v>0</v>
      </c>
      <c r="Q323" s="14" t="s">
        <v>505</v>
      </c>
    </row>
    <row r="324" spans="1:17" x14ac:dyDescent="0.25">
      <c r="A324" s="14" t="s">
        <v>92</v>
      </c>
      <c r="B324" s="14" t="s">
        <v>66</v>
      </c>
      <c r="C324" s="14" t="s">
        <v>68</v>
      </c>
      <c r="D324" s="14">
        <v>10</v>
      </c>
      <c r="E324" s="14">
        <v>50</v>
      </c>
      <c r="F324" s="14" t="s">
        <v>94</v>
      </c>
      <c r="G324" s="14">
        <v>1</v>
      </c>
      <c r="H324" s="14">
        <v>1</v>
      </c>
      <c r="I324" s="14">
        <v>0.159019863728946</v>
      </c>
      <c r="J324" s="14">
        <v>0.24226587776620201</v>
      </c>
      <c r="K324" s="14">
        <v>0.32278040589986301</v>
      </c>
      <c r="L324" s="14">
        <v>0</v>
      </c>
      <c r="Q324" s="14" t="s">
        <v>506</v>
      </c>
    </row>
    <row r="325" spans="1:17" x14ac:dyDescent="0.25">
      <c r="A325" s="14" t="s">
        <v>92</v>
      </c>
      <c r="B325" s="14" t="s">
        <v>66</v>
      </c>
      <c r="C325" s="14" t="s">
        <v>68</v>
      </c>
      <c r="D325" s="14">
        <v>10</v>
      </c>
      <c r="E325" s="14">
        <v>98</v>
      </c>
      <c r="F325" s="14" t="s">
        <v>91</v>
      </c>
      <c r="G325" s="14">
        <v>0</v>
      </c>
      <c r="H325" s="14">
        <v>1</v>
      </c>
      <c r="I325" s="14">
        <v>8.9248241396238895E-2</v>
      </c>
      <c r="J325" s="14">
        <v>8.2709911908034894E-2</v>
      </c>
      <c r="K325" s="14">
        <v>7.1357310835284404E-2</v>
      </c>
      <c r="L325" s="14">
        <v>0</v>
      </c>
      <c r="Q325" s="14" t="s">
        <v>507</v>
      </c>
    </row>
    <row r="326" spans="1:17" x14ac:dyDescent="0.25">
      <c r="A326" s="14" t="s">
        <v>92</v>
      </c>
      <c r="B326" s="14" t="s">
        <v>66</v>
      </c>
      <c r="C326" s="14" t="s">
        <v>68</v>
      </c>
      <c r="D326" s="14">
        <v>10</v>
      </c>
      <c r="E326" s="14">
        <v>98</v>
      </c>
      <c r="F326" s="14" t="s">
        <v>91</v>
      </c>
      <c r="G326" s="14">
        <v>1</v>
      </c>
      <c r="H326" s="14">
        <v>-1</v>
      </c>
      <c r="I326" s="14">
        <v>8.9248241396238895E-2</v>
      </c>
      <c r="J326" s="14">
        <v>8.2709911908034894E-2</v>
      </c>
      <c r="K326" s="14">
        <v>7.1357310835284404E-2</v>
      </c>
      <c r="L326" s="14">
        <v>0</v>
      </c>
      <c r="Q326" s="14" t="s">
        <v>508</v>
      </c>
    </row>
    <row r="327" spans="1:17" x14ac:dyDescent="0.25">
      <c r="A327" s="14" t="s">
        <v>92</v>
      </c>
      <c r="B327" s="14" t="s">
        <v>66</v>
      </c>
      <c r="C327" s="14" t="s">
        <v>68</v>
      </c>
      <c r="D327" s="14">
        <v>10</v>
      </c>
      <c r="E327" s="14">
        <v>98</v>
      </c>
      <c r="F327" s="14" t="s">
        <v>65</v>
      </c>
      <c r="G327" s="14">
        <v>0</v>
      </c>
      <c r="H327" s="14">
        <v>-1</v>
      </c>
      <c r="I327" s="14">
        <v>4.9615483359178501E-2</v>
      </c>
      <c r="J327" s="14">
        <v>0.148995314389925</v>
      </c>
      <c r="K327" s="14">
        <v>0.198553228151611</v>
      </c>
      <c r="L327" s="14">
        <v>0</v>
      </c>
      <c r="Q327" s="14" t="s">
        <v>509</v>
      </c>
    </row>
    <row r="328" spans="1:17" x14ac:dyDescent="0.25">
      <c r="A328" s="14" t="s">
        <v>92</v>
      </c>
      <c r="B328" s="14" t="s">
        <v>66</v>
      </c>
      <c r="C328" s="14" t="s">
        <v>68</v>
      </c>
      <c r="D328" s="14">
        <v>10</v>
      </c>
      <c r="E328" s="14">
        <v>98</v>
      </c>
      <c r="F328" s="14" t="s">
        <v>65</v>
      </c>
      <c r="G328" s="14">
        <v>1</v>
      </c>
      <c r="H328" s="14">
        <v>1</v>
      </c>
      <c r="I328" s="14">
        <v>8.3586066233307998E-2</v>
      </c>
      <c r="J328" s="14">
        <v>0.185330145240474</v>
      </c>
      <c r="K328" s="14">
        <v>0.16581042679053101</v>
      </c>
      <c r="L328" s="14">
        <v>0</v>
      </c>
      <c r="Q328" s="14" t="s">
        <v>510</v>
      </c>
    </row>
    <row r="329" spans="1:17" x14ac:dyDescent="0.25">
      <c r="A329" s="14" t="s">
        <v>92</v>
      </c>
      <c r="B329" s="14" t="s">
        <v>66</v>
      </c>
      <c r="C329" s="14" t="s">
        <v>68</v>
      </c>
      <c r="D329" s="14">
        <v>10</v>
      </c>
      <c r="E329" s="14">
        <v>98</v>
      </c>
      <c r="F329" s="14" t="s">
        <v>92</v>
      </c>
      <c r="G329" s="14">
        <v>0</v>
      </c>
      <c r="H329" s="14">
        <v>1</v>
      </c>
      <c r="I329" s="14">
        <v>4.9615483359189701E-2</v>
      </c>
      <c r="J329" s="14">
        <v>10.7776642614312</v>
      </c>
      <c r="K329" s="14">
        <v>10.7285388772702</v>
      </c>
      <c r="L329" s="14">
        <v>0</v>
      </c>
      <c r="Q329" s="14" t="s">
        <v>511</v>
      </c>
    </row>
    <row r="330" spans="1:17" x14ac:dyDescent="0.25">
      <c r="A330" s="14" t="s">
        <v>92</v>
      </c>
      <c r="B330" s="14" t="s">
        <v>66</v>
      </c>
      <c r="C330" s="14" t="s">
        <v>68</v>
      </c>
      <c r="D330" s="14">
        <v>10</v>
      </c>
      <c r="E330" s="14">
        <v>98</v>
      </c>
      <c r="F330" s="14" t="s">
        <v>92</v>
      </c>
      <c r="G330" s="14">
        <v>1</v>
      </c>
      <c r="H330" s="14">
        <v>1</v>
      </c>
      <c r="I330" s="14">
        <v>4.9615483359224902E-2</v>
      </c>
      <c r="J330" s="14">
        <v>0.14899531439004901</v>
      </c>
      <c r="K330" s="14">
        <v>0.19855322815177401</v>
      </c>
      <c r="L330" s="14">
        <v>0</v>
      </c>
      <c r="Q330" s="14" t="s">
        <v>512</v>
      </c>
    </row>
    <row r="331" spans="1:17" x14ac:dyDescent="0.25">
      <c r="A331" s="14" t="s">
        <v>92</v>
      </c>
      <c r="B331" s="14" t="s">
        <v>66</v>
      </c>
      <c r="C331" s="14" t="s">
        <v>68</v>
      </c>
      <c r="D331" s="14">
        <v>10</v>
      </c>
      <c r="E331" s="14">
        <v>98</v>
      </c>
      <c r="F331" s="14" t="s">
        <v>93</v>
      </c>
      <c r="G331" s="14">
        <v>0</v>
      </c>
      <c r="H331" s="14">
        <v>1</v>
      </c>
      <c r="I331" s="14">
        <v>3.00329039236042E-2</v>
      </c>
      <c r="J331" s="14">
        <v>2.78326922637647E-2</v>
      </c>
      <c r="K331" s="14">
        <v>2.40124312483436E-2</v>
      </c>
      <c r="L331" s="14">
        <v>0</v>
      </c>
      <c r="Q331" s="14" t="s">
        <v>513</v>
      </c>
    </row>
    <row r="332" spans="1:17" x14ac:dyDescent="0.25">
      <c r="A332" s="14" t="s">
        <v>92</v>
      </c>
      <c r="B332" s="14" t="s">
        <v>66</v>
      </c>
      <c r="C332" s="14" t="s">
        <v>68</v>
      </c>
      <c r="D332" s="14">
        <v>10</v>
      </c>
      <c r="E332" s="14">
        <v>98</v>
      </c>
      <c r="F332" s="14" t="s">
        <v>93</v>
      </c>
      <c r="G332" s="14">
        <v>1</v>
      </c>
      <c r="H332" s="14">
        <v>-1</v>
      </c>
      <c r="I332" s="14">
        <v>3.00329039236042E-2</v>
      </c>
      <c r="J332" s="14">
        <v>2.78326922637647E-2</v>
      </c>
      <c r="K332" s="14">
        <v>2.40124312483436E-2</v>
      </c>
      <c r="L332" s="14">
        <v>0</v>
      </c>
      <c r="Q332" s="14" t="s">
        <v>514</v>
      </c>
    </row>
    <row r="333" spans="1:17" x14ac:dyDescent="0.25">
      <c r="A333" s="14" t="s">
        <v>92</v>
      </c>
      <c r="B333" s="14" t="s">
        <v>66</v>
      </c>
      <c r="C333" s="14" t="s">
        <v>68</v>
      </c>
      <c r="D333" s="14">
        <v>10</v>
      </c>
      <c r="E333" s="14">
        <v>98</v>
      </c>
      <c r="F333" s="14" t="s">
        <v>94</v>
      </c>
      <c r="G333" s="14">
        <v>0</v>
      </c>
      <c r="H333" s="14">
        <v>-1</v>
      </c>
      <c r="I333" s="14">
        <v>8.3586066233302905E-2</v>
      </c>
      <c r="J333" s="14">
        <v>0.185330145240478</v>
      </c>
      <c r="K333" s="14">
        <v>0.165810426790547</v>
      </c>
      <c r="L333" s="14">
        <v>0</v>
      </c>
      <c r="Q333" s="14" t="s">
        <v>515</v>
      </c>
    </row>
    <row r="334" spans="1:17" x14ac:dyDescent="0.25">
      <c r="A334" s="14" t="s">
        <v>92</v>
      </c>
      <c r="B334" s="14" t="s">
        <v>66</v>
      </c>
      <c r="C334" s="14" t="s">
        <v>68</v>
      </c>
      <c r="D334" s="14">
        <v>10</v>
      </c>
      <c r="E334" s="14">
        <v>98</v>
      </c>
      <c r="F334" s="14" t="s">
        <v>94</v>
      </c>
      <c r="G334" s="14">
        <v>1</v>
      </c>
      <c r="H334" s="14">
        <v>1</v>
      </c>
      <c r="I334" s="14">
        <v>0.20548436109318299</v>
      </c>
      <c r="J334" s="14">
        <v>0.25943834136822602</v>
      </c>
      <c r="K334" s="14">
        <v>0.37730159786326301</v>
      </c>
      <c r="L334" s="14">
        <v>0</v>
      </c>
      <c r="Q334" s="14" t="s">
        <v>516</v>
      </c>
    </row>
    <row r="335" spans="1:17" x14ac:dyDescent="0.25">
      <c r="A335" s="14" t="s">
        <v>92</v>
      </c>
      <c r="B335" s="14" t="s">
        <v>66</v>
      </c>
      <c r="C335" s="14" t="s">
        <v>68</v>
      </c>
      <c r="D335" s="14">
        <v>30</v>
      </c>
      <c r="E335" s="14">
        <v>2</v>
      </c>
      <c r="F335" s="14" t="s">
        <v>91</v>
      </c>
      <c r="G335" s="14">
        <v>0</v>
      </c>
      <c r="H335" s="14">
        <v>1</v>
      </c>
      <c r="I335" s="14">
        <v>8.9297687620341501E-2</v>
      </c>
      <c r="J335" s="14">
        <v>9.2849624481264395E-2</v>
      </c>
      <c r="K335" s="14">
        <v>8.0248352630245004E-2</v>
      </c>
      <c r="L335" s="14">
        <v>0</v>
      </c>
      <c r="Q335" s="14" t="s">
        <v>517</v>
      </c>
    </row>
    <row r="336" spans="1:17" x14ac:dyDescent="0.25">
      <c r="A336" s="14" t="s">
        <v>92</v>
      </c>
      <c r="B336" s="14" t="s">
        <v>66</v>
      </c>
      <c r="C336" s="14" t="s">
        <v>68</v>
      </c>
      <c r="D336" s="14">
        <v>30</v>
      </c>
      <c r="E336" s="14">
        <v>2</v>
      </c>
      <c r="F336" s="14" t="s">
        <v>91</v>
      </c>
      <c r="G336" s="14">
        <v>1</v>
      </c>
      <c r="H336" s="14">
        <v>-1</v>
      </c>
      <c r="I336" s="14">
        <v>8.9297687620341501E-2</v>
      </c>
      <c r="J336" s="14">
        <v>9.2849624481264395E-2</v>
      </c>
      <c r="K336" s="14">
        <v>8.0248352630245004E-2</v>
      </c>
      <c r="L336" s="14">
        <v>0</v>
      </c>
      <c r="Q336" s="14" t="s">
        <v>518</v>
      </c>
    </row>
    <row r="337" spans="1:17" x14ac:dyDescent="0.25">
      <c r="A337" s="14" t="s">
        <v>92</v>
      </c>
      <c r="B337" s="14" t="s">
        <v>66</v>
      </c>
      <c r="C337" s="14" t="s">
        <v>68</v>
      </c>
      <c r="D337" s="14">
        <v>30</v>
      </c>
      <c r="E337" s="14">
        <v>2</v>
      </c>
      <c r="F337" s="14" t="s">
        <v>65</v>
      </c>
      <c r="G337" s="14">
        <v>0</v>
      </c>
      <c r="H337" s="14">
        <v>-1</v>
      </c>
      <c r="I337" s="14">
        <v>5.7930107930511898E-2</v>
      </c>
      <c r="J337" s="14">
        <v>3.6822241185836498E-2</v>
      </c>
      <c r="K337" s="14">
        <v>7.46198668565283E-2</v>
      </c>
      <c r="L337" s="14">
        <v>0</v>
      </c>
      <c r="Q337" s="14" t="s">
        <v>519</v>
      </c>
    </row>
    <row r="338" spans="1:17" x14ac:dyDescent="0.25">
      <c r="A338" s="14" t="s">
        <v>92</v>
      </c>
      <c r="B338" s="14" t="s">
        <v>66</v>
      </c>
      <c r="C338" s="14" t="s">
        <v>68</v>
      </c>
      <c r="D338" s="14">
        <v>30</v>
      </c>
      <c r="E338" s="14">
        <v>2</v>
      </c>
      <c r="F338" s="14" t="s">
        <v>65</v>
      </c>
      <c r="G338" s="14">
        <v>1</v>
      </c>
      <c r="H338" s="14">
        <v>-1</v>
      </c>
      <c r="I338" s="14">
        <v>5.0207293537989597E-2</v>
      </c>
      <c r="J338" s="14">
        <v>7.4077518390684202E-2</v>
      </c>
      <c r="K338" s="14">
        <v>2.8156040479901001E-2</v>
      </c>
      <c r="L338" s="14">
        <v>0</v>
      </c>
      <c r="Q338" s="14" t="s">
        <v>520</v>
      </c>
    </row>
    <row r="339" spans="1:17" x14ac:dyDescent="0.25">
      <c r="A339" s="14" t="s">
        <v>92</v>
      </c>
      <c r="B339" s="14" t="s">
        <v>66</v>
      </c>
      <c r="C339" s="14" t="s">
        <v>68</v>
      </c>
      <c r="D339" s="14">
        <v>30</v>
      </c>
      <c r="E339" s="14">
        <v>2</v>
      </c>
      <c r="F339" s="14" t="s">
        <v>92</v>
      </c>
      <c r="G339" s="14">
        <v>0</v>
      </c>
      <c r="H339" s="14">
        <v>1</v>
      </c>
      <c r="I339" s="14">
        <v>5.7930107930454201E-2</v>
      </c>
      <c r="J339" s="14">
        <v>7.7311288054418501</v>
      </c>
      <c r="K339" s="14">
        <v>7.6742931713577898</v>
      </c>
      <c r="L339" s="14">
        <v>0</v>
      </c>
      <c r="Q339" s="14" t="s">
        <v>521</v>
      </c>
    </row>
    <row r="340" spans="1:17" x14ac:dyDescent="0.25">
      <c r="A340" s="14" t="s">
        <v>92</v>
      </c>
      <c r="B340" s="14" t="s">
        <v>66</v>
      </c>
      <c r="C340" s="14" t="s">
        <v>68</v>
      </c>
      <c r="D340" s="14">
        <v>30</v>
      </c>
      <c r="E340" s="14">
        <v>2</v>
      </c>
      <c r="F340" s="14" t="s">
        <v>92</v>
      </c>
      <c r="G340" s="14">
        <v>1</v>
      </c>
      <c r="H340" s="14">
        <v>1</v>
      </c>
      <c r="I340" s="14">
        <v>5.7930107930502198E-2</v>
      </c>
      <c r="J340" s="14">
        <v>3.6822241185825597E-2</v>
      </c>
      <c r="K340" s="14">
        <v>7.4619866856515504E-2</v>
      </c>
      <c r="L340" s="14">
        <v>0</v>
      </c>
      <c r="Q340" s="14" t="s">
        <v>522</v>
      </c>
    </row>
    <row r="341" spans="1:17" x14ac:dyDescent="0.25">
      <c r="A341" s="14" t="s">
        <v>92</v>
      </c>
      <c r="B341" s="14" t="s">
        <v>66</v>
      </c>
      <c r="C341" s="14" t="s">
        <v>68</v>
      </c>
      <c r="D341" s="14">
        <v>30</v>
      </c>
      <c r="E341" s="14">
        <v>2</v>
      </c>
      <c r="F341" s="14" t="s">
        <v>93</v>
      </c>
      <c r="G341" s="14">
        <v>0</v>
      </c>
      <c r="H341" s="14">
        <v>1</v>
      </c>
      <c r="I341" s="14">
        <v>3.0049543060404402E-2</v>
      </c>
      <c r="J341" s="14">
        <v>3.1244804466320102E-2</v>
      </c>
      <c r="K341" s="14">
        <v>2.70043535521493E-2</v>
      </c>
      <c r="L341" s="14">
        <v>0</v>
      </c>
      <c r="Q341" s="14" t="s">
        <v>523</v>
      </c>
    </row>
    <row r="342" spans="1:17" x14ac:dyDescent="0.25">
      <c r="A342" s="14" t="s">
        <v>92</v>
      </c>
      <c r="B342" s="14" t="s">
        <v>66</v>
      </c>
      <c r="C342" s="14" t="s">
        <v>68</v>
      </c>
      <c r="D342" s="14">
        <v>30</v>
      </c>
      <c r="E342" s="14">
        <v>2</v>
      </c>
      <c r="F342" s="14" t="s">
        <v>93</v>
      </c>
      <c r="G342" s="14">
        <v>1</v>
      </c>
      <c r="H342" s="14">
        <v>-1</v>
      </c>
      <c r="I342" s="14">
        <v>3.0049543060404402E-2</v>
      </c>
      <c r="J342" s="14">
        <v>3.1244804466320102E-2</v>
      </c>
      <c r="K342" s="14">
        <v>2.70043535521493E-2</v>
      </c>
      <c r="L342" s="14">
        <v>0</v>
      </c>
      <c r="Q342" s="14" t="s">
        <v>524</v>
      </c>
    </row>
    <row r="343" spans="1:17" x14ac:dyDescent="0.25">
      <c r="A343" s="14" t="s">
        <v>92</v>
      </c>
      <c r="B343" s="14" t="s">
        <v>66</v>
      </c>
      <c r="C343" s="14" t="s">
        <v>68</v>
      </c>
      <c r="D343" s="14">
        <v>30</v>
      </c>
      <c r="E343" s="14">
        <v>2</v>
      </c>
      <c r="F343" s="14" t="s">
        <v>94</v>
      </c>
      <c r="G343" s="14">
        <v>0</v>
      </c>
      <c r="H343" s="14">
        <v>1</v>
      </c>
      <c r="I343" s="14">
        <v>5.0207293538002899E-2</v>
      </c>
      <c r="J343" s="14">
        <v>7.4077518390694999E-2</v>
      </c>
      <c r="K343" s="14">
        <v>2.8156040479905602E-2</v>
      </c>
      <c r="L343" s="14">
        <v>0</v>
      </c>
      <c r="Q343" s="14" t="s">
        <v>525</v>
      </c>
    </row>
    <row r="344" spans="1:17" x14ac:dyDescent="0.25">
      <c r="A344" s="14" t="s">
        <v>92</v>
      </c>
      <c r="B344" s="14" t="s">
        <v>66</v>
      </c>
      <c r="C344" s="14" t="s">
        <v>68</v>
      </c>
      <c r="D344" s="14">
        <v>30</v>
      </c>
      <c r="E344" s="14">
        <v>2</v>
      </c>
      <c r="F344" s="14" t="s">
        <v>94</v>
      </c>
      <c r="G344" s="14">
        <v>1</v>
      </c>
      <c r="H344" s="14">
        <v>-1</v>
      </c>
      <c r="I344" s="14">
        <v>3.72853948702562E-2</v>
      </c>
      <c r="J344" s="14">
        <v>0.13627772816975001</v>
      </c>
      <c r="K344" s="14">
        <v>0.11066869918262801</v>
      </c>
      <c r="L344" s="14">
        <v>0</v>
      </c>
      <c r="Q344" s="14" t="s">
        <v>526</v>
      </c>
    </row>
    <row r="345" spans="1:17" x14ac:dyDescent="0.25">
      <c r="A345" s="14" t="s">
        <v>92</v>
      </c>
      <c r="B345" s="14" t="s">
        <v>66</v>
      </c>
      <c r="C345" s="14" t="s">
        <v>68</v>
      </c>
      <c r="D345" s="14">
        <v>30</v>
      </c>
      <c r="E345" s="14">
        <v>50</v>
      </c>
      <c r="F345" s="14" t="s">
        <v>91</v>
      </c>
      <c r="G345" s="14">
        <v>0</v>
      </c>
      <c r="H345" s="14">
        <v>1</v>
      </c>
      <c r="I345" s="14">
        <v>8.9290162127112896E-2</v>
      </c>
      <c r="J345" s="14">
        <v>9.0701121323827003E-2</v>
      </c>
      <c r="K345" s="14">
        <v>7.9880284315884204E-2</v>
      </c>
      <c r="L345" s="14">
        <v>0</v>
      </c>
      <c r="Q345" s="14" t="s">
        <v>527</v>
      </c>
    </row>
    <row r="346" spans="1:17" x14ac:dyDescent="0.25">
      <c r="A346" s="14" t="s">
        <v>92</v>
      </c>
      <c r="B346" s="14" t="s">
        <v>66</v>
      </c>
      <c r="C346" s="14" t="s">
        <v>68</v>
      </c>
      <c r="D346" s="14">
        <v>30</v>
      </c>
      <c r="E346" s="14">
        <v>50</v>
      </c>
      <c r="F346" s="14" t="s">
        <v>91</v>
      </c>
      <c r="G346" s="14">
        <v>1</v>
      </c>
      <c r="H346" s="14">
        <v>-1</v>
      </c>
      <c r="I346" s="14">
        <v>8.9290162127112896E-2</v>
      </c>
      <c r="J346" s="14">
        <v>9.0701121323827003E-2</v>
      </c>
      <c r="K346" s="14">
        <v>7.9880284315884204E-2</v>
      </c>
      <c r="L346" s="14">
        <v>0</v>
      </c>
      <c r="Q346" s="14" t="s">
        <v>528</v>
      </c>
    </row>
    <row r="347" spans="1:17" x14ac:dyDescent="0.25">
      <c r="A347" s="14" t="s">
        <v>92</v>
      </c>
      <c r="B347" s="14" t="s">
        <v>66</v>
      </c>
      <c r="C347" s="14" t="s">
        <v>68</v>
      </c>
      <c r="D347" s="14">
        <v>30</v>
      </c>
      <c r="E347" s="14">
        <v>50</v>
      </c>
      <c r="F347" s="14" t="s">
        <v>65</v>
      </c>
      <c r="G347" s="14">
        <v>0</v>
      </c>
      <c r="H347" s="14">
        <v>-1</v>
      </c>
      <c r="I347" s="14">
        <v>5.8027342508566102E-2</v>
      </c>
      <c r="J347" s="14">
        <v>5.2399326566203101E-2</v>
      </c>
      <c r="K347" s="14">
        <v>0.105182174017347</v>
      </c>
      <c r="L347" s="14">
        <v>0</v>
      </c>
      <c r="Q347" s="14" t="s">
        <v>529</v>
      </c>
    </row>
    <row r="348" spans="1:17" x14ac:dyDescent="0.25">
      <c r="A348" s="14" t="s">
        <v>92</v>
      </c>
      <c r="B348" s="14" t="s">
        <v>66</v>
      </c>
      <c r="C348" s="14" t="s">
        <v>68</v>
      </c>
      <c r="D348" s="14">
        <v>30</v>
      </c>
      <c r="E348" s="14">
        <v>50</v>
      </c>
      <c r="F348" s="14" t="s">
        <v>65</v>
      </c>
      <c r="G348" s="14">
        <v>1</v>
      </c>
      <c r="H348" s="14">
        <v>-1</v>
      </c>
      <c r="I348" s="14">
        <v>5.67473766094388E-2</v>
      </c>
      <c r="J348" s="14">
        <v>9.9468714545698597E-2</v>
      </c>
      <c r="K348" s="14">
        <v>4.7348450701041697E-2</v>
      </c>
      <c r="L348" s="14">
        <v>0</v>
      </c>
      <c r="Q348" s="14" t="s">
        <v>530</v>
      </c>
    </row>
    <row r="349" spans="1:17" x14ac:dyDescent="0.25">
      <c r="A349" s="14" t="s">
        <v>92</v>
      </c>
      <c r="B349" s="14" t="s">
        <v>66</v>
      </c>
      <c r="C349" s="14" t="s">
        <v>68</v>
      </c>
      <c r="D349" s="14">
        <v>30</v>
      </c>
      <c r="E349" s="14">
        <v>50</v>
      </c>
      <c r="F349" s="14" t="s">
        <v>92</v>
      </c>
      <c r="G349" s="14">
        <v>0</v>
      </c>
      <c r="H349" s="14">
        <v>1</v>
      </c>
      <c r="I349" s="14">
        <v>5.8027342508588403E-2</v>
      </c>
      <c r="J349" s="14">
        <v>6.9725374664431401</v>
      </c>
      <c r="K349" s="14">
        <v>6.91552950994555</v>
      </c>
      <c r="L349" s="14">
        <v>0</v>
      </c>
      <c r="Q349" s="14" t="s">
        <v>531</v>
      </c>
    </row>
    <row r="350" spans="1:17" x14ac:dyDescent="0.25">
      <c r="A350" s="14" t="s">
        <v>92</v>
      </c>
      <c r="B350" s="14" t="s">
        <v>66</v>
      </c>
      <c r="C350" s="14" t="s">
        <v>68</v>
      </c>
      <c r="D350" s="14">
        <v>30</v>
      </c>
      <c r="E350" s="14">
        <v>50</v>
      </c>
      <c r="F350" s="14" t="s">
        <v>92</v>
      </c>
      <c r="G350" s="14">
        <v>1</v>
      </c>
      <c r="H350" s="14">
        <v>1</v>
      </c>
      <c r="I350" s="14">
        <v>5.8027342508589798E-2</v>
      </c>
      <c r="J350" s="14">
        <v>5.2399326566222398E-2</v>
      </c>
      <c r="K350" s="14">
        <v>0.10518217401737399</v>
      </c>
      <c r="L350" s="14">
        <v>0</v>
      </c>
      <c r="Q350" s="14" t="s">
        <v>532</v>
      </c>
    </row>
    <row r="351" spans="1:17" x14ac:dyDescent="0.25">
      <c r="A351" s="14" t="s">
        <v>92</v>
      </c>
      <c r="B351" s="14" t="s">
        <v>66</v>
      </c>
      <c r="C351" s="14" t="s">
        <v>68</v>
      </c>
      <c r="D351" s="14">
        <v>30</v>
      </c>
      <c r="E351" s="14">
        <v>50</v>
      </c>
      <c r="F351" s="14" t="s">
        <v>93</v>
      </c>
      <c r="G351" s="14">
        <v>0</v>
      </c>
      <c r="H351" s="14">
        <v>1</v>
      </c>
      <c r="I351" s="14">
        <v>3.0047010658513899E-2</v>
      </c>
      <c r="J351" s="14">
        <v>3.0521812193335399E-2</v>
      </c>
      <c r="K351" s="14">
        <v>2.6880494973539299E-2</v>
      </c>
      <c r="L351" s="14">
        <v>0</v>
      </c>
      <c r="Q351" s="14" t="s">
        <v>533</v>
      </c>
    </row>
    <row r="352" spans="1:17" x14ac:dyDescent="0.25">
      <c r="A352" s="14" t="s">
        <v>92</v>
      </c>
      <c r="B352" s="14" t="s">
        <v>66</v>
      </c>
      <c r="C352" s="14" t="s">
        <v>68</v>
      </c>
      <c r="D352" s="14">
        <v>30</v>
      </c>
      <c r="E352" s="14">
        <v>50</v>
      </c>
      <c r="F352" s="14" t="s">
        <v>93</v>
      </c>
      <c r="G352" s="14">
        <v>1</v>
      </c>
      <c r="H352" s="14">
        <v>-1</v>
      </c>
      <c r="I352" s="14">
        <v>3.0047010658513899E-2</v>
      </c>
      <c r="J352" s="14">
        <v>3.0521812193335399E-2</v>
      </c>
      <c r="K352" s="14">
        <v>2.6880494973539299E-2</v>
      </c>
      <c r="L352" s="14">
        <v>0</v>
      </c>
      <c r="Q352" s="14" t="s">
        <v>534</v>
      </c>
    </row>
    <row r="353" spans="1:17" x14ac:dyDescent="0.25">
      <c r="A353" s="14" t="s">
        <v>92</v>
      </c>
      <c r="B353" s="14" t="s">
        <v>66</v>
      </c>
      <c r="C353" s="14" t="s">
        <v>68</v>
      </c>
      <c r="D353" s="14">
        <v>30</v>
      </c>
      <c r="E353" s="14">
        <v>50</v>
      </c>
      <c r="F353" s="14" t="s">
        <v>94</v>
      </c>
      <c r="G353" s="14">
        <v>0</v>
      </c>
      <c r="H353" s="14">
        <v>1</v>
      </c>
      <c r="I353" s="14">
        <v>5.6747376609426102E-2</v>
      </c>
      <c r="J353" s="14">
        <v>9.9468714545687995E-2</v>
      </c>
      <c r="K353" s="14">
        <v>4.7348450701045798E-2</v>
      </c>
      <c r="L353" s="14">
        <v>0</v>
      </c>
      <c r="Q353" s="14" t="s">
        <v>535</v>
      </c>
    </row>
    <row r="354" spans="1:17" x14ac:dyDescent="0.25">
      <c r="A354" s="14" t="s">
        <v>92</v>
      </c>
      <c r="B354" s="14" t="s">
        <v>66</v>
      </c>
      <c r="C354" s="14" t="s">
        <v>68</v>
      </c>
      <c r="D354" s="14">
        <v>30</v>
      </c>
      <c r="E354" s="14">
        <v>50</v>
      </c>
      <c r="F354" s="14" t="s">
        <v>94</v>
      </c>
      <c r="G354" s="14">
        <v>1</v>
      </c>
      <c r="H354" s="14">
        <v>-1</v>
      </c>
      <c r="I354" s="14">
        <v>3.5451675702302302E-2</v>
      </c>
      <c r="J354" s="14">
        <v>0.171060407261488</v>
      </c>
      <c r="K354" s="14">
        <v>0.160252981998909</v>
      </c>
      <c r="L354" s="14">
        <v>0</v>
      </c>
      <c r="Q354" s="14" t="s">
        <v>536</v>
      </c>
    </row>
    <row r="355" spans="1:17" x14ac:dyDescent="0.25">
      <c r="A355" s="14" t="s">
        <v>92</v>
      </c>
      <c r="B355" s="14" t="s">
        <v>66</v>
      </c>
      <c r="C355" s="14" t="s">
        <v>68</v>
      </c>
      <c r="D355" s="14">
        <v>30</v>
      </c>
      <c r="E355" s="14">
        <v>98</v>
      </c>
      <c r="F355" s="14" t="s">
        <v>91</v>
      </c>
      <c r="G355" s="14">
        <v>0</v>
      </c>
      <c r="H355" s="14">
        <v>1</v>
      </c>
      <c r="I355" s="14">
        <v>8.9281599298303399E-2</v>
      </c>
      <c r="J355" s="14">
        <v>8.9200242540253397E-2</v>
      </c>
      <c r="K355" s="14">
        <v>8.0129429140588598E-2</v>
      </c>
      <c r="L355" s="14">
        <v>0</v>
      </c>
      <c r="Q355" s="14" t="s">
        <v>537</v>
      </c>
    </row>
    <row r="356" spans="1:17" x14ac:dyDescent="0.25">
      <c r="A356" s="14" t="s">
        <v>92</v>
      </c>
      <c r="B356" s="14" t="s">
        <v>66</v>
      </c>
      <c r="C356" s="14" t="s">
        <v>68</v>
      </c>
      <c r="D356" s="14">
        <v>30</v>
      </c>
      <c r="E356" s="14">
        <v>98</v>
      </c>
      <c r="F356" s="14" t="s">
        <v>91</v>
      </c>
      <c r="G356" s="14">
        <v>1</v>
      </c>
      <c r="H356" s="14">
        <v>-1</v>
      </c>
      <c r="I356" s="14">
        <v>8.9281599298303399E-2</v>
      </c>
      <c r="J356" s="14">
        <v>8.9200242540253397E-2</v>
      </c>
      <c r="K356" s="14">
        <v>8.0129429140588598E-2</v>
      </c>
      <c r="L356" s="14">
        <v>0</v>
      </c>
      <c r="Q356" s="14" t="s">
        <v>538</v>
      </c>
    </row>
    <row r="357" spans="1:17" x14ac:dyDescent="0.25">
      <c r="A357" s="14" t="s">
        <v>92</v>
      </c>
      <c r="B357" s="14" t="s">
        <v>66</v>
      </c>
      <c r="C357" s="14" t="s">
        <v>68</v>
      </c>
      <c r="D357" s="14">
        <v>30</v>
      </c>
      <c r="E357" s="14">
        <v>98</v>
      </c>
      <c r="F357" s="14" t="s">
        <v>65</v>
      </c>
      <c r="G357" s="14">
        <v>0</v>
      </c>
      <c r="H357" s="14">
        <v>-1</v>
      </c>
      <c r="I357" s="14">
        <v>5.7129203711738102E-2</v>
      </c>
      <c r="J357" s="14">
        <v>7.5256414085698303E-2</v>
      </c>
      <c r="K357" s="14">
        <v>0.13044117738081401</v>
      </c>
      <c r="L357" s="14">
        <v>0</v>
      </c>
      <c r="Q357" s="14" t="s">
        <v>539</v>
      </c>
    </row>
    <row r="358" spans="1:17" x14ac:dyDescent="0.25">
      <c r="A358" s="14" t="s">
        <v>92</v>
      </c>
      <c r="B358" s="14" t="s">
        <v>66</v>
      </c>
      <c r="C358" s="14" t="s">
        <v>68</v>
      </c>
      <c r="D358" s="14">
        <v>30</v>
      </c>
      <c r="E358" s="14">
        <v>98</v>
      </c>
      <c r="F358" s="14" t="s">
        <v>65</v>
      </c>
      <c r="G358" s="14">
        <v>1</v>
      </c>
      <c r="H358" s="14">
        <v>-1</v>
      </c>
      <c r="I358" s="14">
        <v>6.3231444053537506E-2</v>
      </c>
      <c r="J358" s="14">
        <v>0.121747991443365</v>
      </c>
      <c r="K358" s="14">
        <v>7.6312082764518896E-2</v>
      </c>
      <c r="L358" s="14">
        <v>0</v>
      </c>
      <c r="Q358" s="14" t="s">
        <v>540</v>
      </c>
    </row>
    <row r="359" spans="1:17" x14ac:dyDescent="0.25">
      <c r="A359" s="14" t="s">
        <v>92</v>
      </c>
      <c r="B359" s="14" t="s">
        <v>66</v>
      </c>
      <c r="C359" s="14" t="s">
        <v>68</v>
      </c>
      <c r="D359" s="14">
        <v>30</v>
      </c>
      <c r="E359" s="14">
        <v>98</v>
      </c>
      <c r="F359" s="14" t="s">
        <v>92</v>
      </c>
      <c r="G359" s="14">
        <v>0</v>
      </c>
      <c r="H359" s="14">
        <v>1</v>
      </c>
      <c r="I359" s="14">
        <v>5.7129203711734501E-2</v>
      </c>
      <c r="J359" s="14">
        <v>6.2413917514201902</v>
      </c>
      <c r="K359" s="14">
        <v>6.1852224176749901</v>
      </c>
      <c r="L359" s="14">
        <v>0</v>
      </c>
      <c r="Q359" s="14" t="s">
        <v>541</v>
      </c>
    </row>
    <row r="360" spans="1:17" x14ac:dyDescent="0.25">
      <c r="A360" s="14" t="s">
        <v>92</v>
      </c>
      <c r="B360" s="14" t="s">
        <v>66</v>
      </c>
      <c r="C360" s="14" t="s">
        <v>68</v>
      </c>
      <c r="D360" s="14">
        <v>30</v>
      </c>
      <c r="E360" s="14">
        <v>98</v>
      </c>
      <c r="F360" s="14" t="s">
        <v>92</v>
      </c>
      <c r="G360" s="14">
        <v>1</v>
      </c>
      <c r="H360" s="14">
        <v>1</v>
      </c>
      <c r="I360" s="14">
        <v>5.7129203711828697E-2</v>
      </c>
      <c r="J360" s="14">
        <v>7.5256414085757894E-2</v>
      </c>
      <c r="K360" s="14">
        <v>0.130441177380932</v>
      </c>
      <c r="L360" s="14">
        <v>0</v>
      </c>
      <c r="Q360" s="14" t="s">
        <v>542</v>
      </c>
    </row>
    <row r="361" spans="1:17" x14ac:dyDescent="0.25">
      <c r="A361" s="14" t="s">
        <v>92</v>
      </c>
      <c r="B361" s="14" t="s">
        <v>66</v>
      </c>
      <c r="C361" s="14" t="s">
        <v>68</v>
      </c>
      <c r="D361" s="14">
        <v>30</v>
      </c>
      <c r="E361" s="14">
        <v>98</v>
      </c>
      <c r="F361" s="14" t="s">
        <v>93</v>
      </c>
      <c r="G361" s="14">
        <v>0</v>
      </c>
      <c r="H361" s="14">
        <v>1</v>
      </c>
      <c r="I361" s="14">
        <v>3.0044129183086798E-2</v>
      </c>
      <c r="J361" s="14">
        <v>3.0016751840298301E-2</v>
      </c>
      <c r="K361" s="14">
        <v>2.69643346376814E-2</v>
      </c>
      <c r="L361" s="14">
        <v>0</v>
      </c>
      <c r="Q361" s="14" t="s">
        <v>543</v>
      </c>
    </row>
    <row r="362" spans="1:17" x14ac:dyDescent="0.25">
      <c r="A362" s="14" t="s">
        <v>92</v>
      </c>
      <c r="B362" s="14" t="s">
        <v>66</v>
      </c>
      <c r="C362" s="14" t="s">
        <v>68</v>
      </c>
      <c r="D362" s="14">
        <v>30</v>
      </c>
      <c r="E362" s="14">
        <v>98</v>
      </c>
      <c r="F362" s="14" t="s">
        <v>93</v>
      </c>
      <c r="G362" s="14">
        <v>1</v>
      </c>
      <c r="H362" s="14">
        <v>-1</v>
      </c>
      <c r="I362" s="14">
        <v>3.0044129183086798E-2</v>
      </c>
      <c r="J362" s="14">
        <v>3.0016751840298301E-2</v>
      </c>
      <c r="K362" s="14">
        <v>2.69643346376814E-2</v>
      </c>
      <c r="L362" s="14">
        <v>0</v>
      </c>
      <c r="Q362" s="14" t="s">
        <v>544</v>
      </c>
    </row>
    <row r="363" spans="1:17" x14ac:dyDescent="0.25">
      <c r="A363" s="14" t="s">
        <v>92</v>
      </c>
      <c r="B363" s="14" t="s">
        <v>66</v>
      </c>
      <c r="C363" s="14" t="s">
        <v>68</v>
      </c>
      <c r="D363" s="14">
        <v>30</v>
      </c>
      <c r="E363" s="14">
        <v>98</v>
      </c>
      <c r="F363" s="14" t="s">
        <v>94</v>
      </c>
      <c r="G363" s="14">
        <v>0</v>
      </c>
      <c r="H363" s="14">
        <v>1</v>
      </c>
      <c r="I363" s="14">
        <v>6.3231444053534605E-2</v>
      </c>
      <c r="J363" s="14">
        <v>0.12174799144336899</v>
      </c>
      <c r="K363" s="14">
        <v>7.6312082764522102E-2</v>
      </c>
      <c r="L363" s="14">
        <v>0</v>
      </c>
      <c r="Q363" s="14" t="s">
        <v>545</v>
      </c>
    </row>
    <row r="364" spans="1:17" x14ac:dyDescent="0.25">
      <c r="A364" s="14" t="s">
        <v>92</v>
      </c>
      <c r="B364" s="14" t="s">
        <v>66</v>
      </c>
      <c r="C364" s="14" t="s">
        <v>68</v>
      </c>
      <c r="D364" s="14">
        <v>30</v>
      </c>
      <c r="E364" s="14">
        <v>98</v>
      </c>
      <c r="F364" s="14" t="s">
        <v>94</v>
      </c>
      <c r="G364" s="14">
        <v>1</v>
      </c>
      <c r="H364" s="14">
        <v>1</v>
      </c>
      <c r="I364" s="14">
        <v>7.6688355722144497E-2</v>
      </c>
      <c r="J364" s="14">
        <v>0.197015752345825</v>
      </c>
      <c r="K364" s="14">
        <v>0.21329648182850999</v>
      </c>
      <c r="L364" s="14">
        <v>0</v>
      </c>
      <c r="Q364" s="14" t="s">
        <v>546</v>
      </c>
    </row>
    <row r="365" spans="1:17" x14ac:dyDescent="0.25">
      <c r="A365" s="14" t="s">
        <v>92</v>
      </c>
      <c r="B365" s="14" t="s">
        <v>66</v>
      </c>
      <c r="C365" s="14" t="s">
        <v>69</v>
      </c>
      <c r="D365" s="14">
        <v>0</v>
      </c>
      <c r="E365" s="14">
        <v>2</v>
      </c>
      <c r="F365" s="14" t="s">
        <v>91</v>
      </c>
      <c r="G365" s="14">
        <v>0</v>
      </c>
      <c r="H365" s="14">
        <v>1</v>
      </c>
      <c r="I365" s="14">
        <v>6.0965278780692397E-2</v>
      </c>
      <c r="J365" s="14">
        <v>3.1375616717362199E-2</v>
      </c>
      <c r="K365" s="14">
        <v>2.9992810405924199E-2</v>
      </c>
      <c r="L365" s="14">
        <v>0</v>
      </c>
      <c r="Q365" s="14" t="s">
        <v>547</v>
      </c>
    </row>
    <row r="366" spans="1:17" x14ac:dyDescent="0.25">
      <c r="A366" s="14" t="s">
        <v>92</v>
      </c>
      <c r="B366" s="14" t="s">
        <v>66</v>
      </c>
      <c r="C366" s="14" t="s">
        <v>69</v>
      </c>
      <c r="D366" s="14">
        <v>0</v>
      </c>
      <c r="E366" s="14">
        <v>2</v>
      </c>
      <c r="F366" s="14" t="s">
        <v>91</v>
      </c>
      <c r="G366" s="14">
        <v>1</v>
      </c>
      <c r="H366" s="14">
        <v>-1</v>
      </c>
      <c r="I366" s="14">
        <v>6.0965278780692397E-2</v>
      </c>
      <c r="J366" s="14">
        <v>3.1375616717362199E-2</v>
      </c>
      <c r="K366" s="14">
        <v>2.9992810405924199E-2</v>
      </c>
      <c r="L366" s="14">
        <v>0</v>
      </c>
      <c r="Q366" s="14" t="s">
        <v>548</v>
      </c>
    </row>
    <row r="367" spans="1:17" x14ac:dyDescent="0.25">
      <c r="A367" s="14" t="s">
        <v>92</v>
      </c>
      <c r="B367" s="14" t="s">
        <v>66</v>
      </c>
      <c r="C367" s="14" t="s">
        <v>69</v>
      </c>
      <c r="D367" s="14">
        <v>0</v>
      </c>
      <c r="E367" s="14">
        <v>2</v>
      </c>
      <c r="F367" s="14" t="s">
        <v>65</v>
      </c>
      <c r="G367" s="14">
        <v>0</v>
      </c>
      <c r="H367" s="14">
        <v>-1</v>
      </c>
      <c r="I367" s="14">
        <v>7.5341605510705401E-2</v>
      </c>
      <c r="J367" s="14">
        <v>0.197899953865184</v>
      </c>
      <c r="K367" s="14">
        <v>0.22513606816533999</v>
      </c>
      <c r="L367" s="14">
        <v>0</v>
      </c>
      <c r="Q367" s="14" t="s">
        <v>549</v>
      </c>
    </row>
    <row r="368" spans="1:17" x14ac:dyDescent="0.25">
      <c r="A368" s="14" t="s">
        <v>92</v>
      </c>
      <c r="B368" s="14" t="s">
        <v>66</v>
      </c>
      <c r="C368" s="14" t="s">
        <v>69</v>
      </c>
      <c r="D368" s="14">
        <v>0</v>
      </c>
      <c r="E368" s="14">
        <v>2</v>
      </c>
      <c r="F368" s="14" t="s">
        <v>65</v>
      </c>
      <c r="G368" s="14">
        <v>1</v>
      </c>
      <c r="H368" s="14">
        <v>1</v>
      </c>
      <c r="I368" s="14">
        <v>1.6758056102113901E-2</v>
      </c>
      <c r="J368" s="14">
        <v>0.19942361310739701</v>
      </c>
      <c r="K368" s="14">
        <v>0.215690839598315</v>
      </c>
      <c r="L368" s="14">
        <v>0</v>
      </c>
      <c r="Q368" s="14" t="s">
        <v>550</v>
      </c>
    </row>
    <row r="369" spans="1:17" x14ac:dyDescent="0.25">
      <c r="A369" s="14" t="s">
        <v>92</v>
      </c>
      <c r="B369" s="14" t="s">
        <v>66</v>
      </c>
      <c r="C369" s="14" t="s">
        <v>69</v>
      </c>
      <c r="D369" s="14">
        <v>0</v>
      </c>
      <c r="E369" s="14">
        <v>2</v>
      </c>
      <c r="F369" s="14" t="s">
        <v>92</v>
      </c>
      <c r="G369" s="14">
        <v>0</v>
      </c>
      <c r="H369" s="14">
        <v>1</v>
      </c>
      <c r="I369" s="14">
        <v>7.5341605510521201E-2</v>
      </c>
      <c r="J369" s="14">
        <v>49.864431837662302</v>
      </c>
      <c r="K369" s="14">
        <v>52.199900890692497</v>
      </c>
      <c r="L369" s="14">
        <v>51.098057772998402</v>
      </c>
      <c r="Q369" s="14" t="s">
        <v>551</v>
      </c>
    </row>
    <row r="370" spans="1:17" x14ac:dyDescent="0.25">
      <c r="A370" s="14" t="s">
        <v>92</v>
      </c>
      <c r="B370" s="14" t="s">
        <v>66</v>
      </c>
      <c r="C370" s="14" t="s">
        <v>69</v>
      </c>
      <c r="D370" s="14">
        <v>0</v>
      </c>
      <c r="E370" s="14">
        <v>2</v>
      </c>
      <c r="F370" s="14" t="s">
        <v>92</v>
      </c>
      <c r="G370" s="14">
        <v>1</v>
      </c>
      <c r="H370" s="14">
        <v>1</v>
      </c>
      <c r="I370" s="14">
        <v>7.5341605510696505E-2</v>
      </c>
      <c r="J370" s="14">
        <v>0.197899953865184</v>
      </c>
      <c r="K370" s="14">
        <v>0.22513606816534101</v>
      </c>
      <c r="L370" s="14">
        <v>0</v>
      </c>
      <c r="Q370" s="14" t="s">
        <v>552</v>
      </c>
    </row>
    <row r="371" spans="1:17" x14ac:dyDescent="0.25">
      <c r="A371" s="14" t="s">
        <v>92</v>
      </c>
      <c r="B371" s="14" t="s">
        <v>66</v>
      </c>
      <c r="C371" s="14" t="s">
        <v>69</v>
      </c>
      <c r="D371" s="14">
        <v>0</v>
      </c>
      <c r="E371" s="14">
        <v>2</v>
      </c>
      <c r="F371" s="14" t="s">
        <v>93</v>
      </c>
      <c r="G371" s="14">
        <v>0</v>
      </c>
      <c r="H371" s="14">
        <v>1</v>
      </c>
      <c r="I371" s="14">
        <v>2.0515411078720298E-2</v>
      </c>
      <c r="J371" s="14">
        <v>1.05582011216635E-2</v>
      </c>
      <c r="K371" s="14">
        <v>1.0092873307394E-2</v>
      </c>
      <c r="L371" s="14">
        <v>0</v>
      </c>
      <c r="Q371" s="14" t="s">
        <v>553</v>
      </c>
    </row>
    <row r="372" spans="1:17" x14ac:dyDescent="0.25">
      <c r="A372" s="14" t="s">
        <v>92</v>
      </c>
      <c r="B372" s="14" t="s">
        <v>66</v>
      </c>
      <c r="C372" s="14" t="s">
        <v>69</v>
      </c>
      <c r="D372" s="14">
        <v>0</v>
      </c>
      <c r="E372" s="14">
        <v>2</v>
      </c>
      <c r="F372" s="14" t="s">
        <v>93</v>
      </c>
      <c r="G372" s="14">
        <v>1</v>
      </c>
      <c r="H372" s="14">
        <v>-1</v>
      </c>
      <c r="I372" s="14">
        <v>2.0515411078720298E-2</v>
      </c>
      <c r="J372" s="14">
        <v>1.05582011216635E-2</v>
      </c>
      <c r="K372" s="14">
        <v>1.0092873307394E-2</v>
      </c>
      <c r="L372" s="14">
        <v>0</v>
      </c>
      <c r="Q372" s="14" t="s">
        <v>554</v>
      </c>
    </row>
    <row r="373" spans="1:17" x14ac:dyDescent="0.25">
      <c r="A373" s="14" t="s">
        <v>92</v>
      </c>
      <c r="B373" s="14" t="s">
        <v>66</v>
      </c>
      <c r="C373" s="14" t="s">
        <v>69</v>
      </c>
      <c r="D373" s="14">
        <v>0</v>
      </c>
      <c r="E373" s="14">
        <v>2</v>
      </c>
      <c r="F373" s="14" t="s">
        <v>94</v>
      </c>
      <c r="G373" s="14">
        <v>0</v>
      </c>
      <c r="H373" s="14">
        <v>-1</v>
      </c>
      <c r="I373" s="14">
        <v>1.6758056102112801E-2</v>
      </c>
      <c r="J373" s="14">
        <v>0.19942361310738899</v>
      </c>
      <c r="K373" s="14">
        <v>0.21569083959830901</v>
      </c>
      <c r="L373" s="14">
        <v>0</v>
      </c>
      <c r="Q373" s="14" t="s">
        <v>555</v>
      </c>
    </row>
    <row r="374" spans="1:17" x14ac:dyDescent="0.25">
      <c r="A374" s="14" t="s">
        <v>92</v>
      </c>
      <c r="B374" s="14" t="s">
        <v>66</v>
      </c>
      <c r="C374" s="14" t="s">
        <v>69</v>
      </c>
      <c r="D374" s="14">
        <v>0</v>
      </c>
      <c r="E374" s="14">
        <v>2</v>
      </c>
      <c r="F374" s="14" t="s">
        <v>94</v>
      </c>
      <c r="G374" s="14">
        <v>1</v>
      </c>
      <c r="H374" s="14">
        <v>1</v>
      </c>
      <c r="I374" s="14">
        <v>0.25627396815487802</v>
      </c>
      <c r="J374" s="14">
        <v>0.20239325400333799</v>
      </c>
      <c r="K374" s="14">
        <v>0.45847075672099502</v>
      </c>
      <c r="L374" s="14">
        <v>0</v>
      </c>
      <c r="Q374" s="14" t="s">
        <v>556</v>
      </c>
    </row>
    <row r="375" spans="1:17" x14ac:dyDescent="0.25">
      <c r="A375" s="14" t="s">
        <v>92</v>
      </c>
      <c r="B375" s="14" t="s">
        <v>66</v>
      </c>
      <c r="C375" s="14" t="s">
        <v>69</v>
      </c>
      <c r="D375" s="14">
        <v>0</v>
      </c>
      <c r="E375" s="14">
        <v>50</v>
      </c>
      <c r="F375" s="14" t="s">
        <v>91</v>
      </c>
      <c r="G375" s="14">
        <v>0</v>
      </c>
      <c r="H375" s="14">
        <v>1</v>
      </c>
      <c r="I375" s="14">
        <v>7.5813470708400693E-2</v>
      </c>
      <c r="J375" s="14">
        <v>5.88985885118068E-2</v>
      </c>
      <c r="K375" s="14">
        <v>5.49789396167377E-2</v>
      </c>
      <c r="L375" s="14">
        <v>0</v>
      </c>
      <c r="Q375" s="14" t="s">
        <v>557</v>
      </c>
    </row>
    <row r="376" spans="1:17" x14ac:dyDescent="0.25">
      <c r="A376" s="14" t="s">
        <v>92</v>
      </c>
      <c r="B376" s="14" t="s">
        <v>66</v>
      </c>
      <c r="C376" s="14" t="s">
        <v>69</v>
      </c>
      <c r="D376" s="14">
        <v>0</v>
      </c>
      <c r="E376" s="14">
        <v>50</v>
      </c>
      <c r="F376" s="14" t="s">
        <v>91</v>
      </c>
      <c r="G376" s="14">
        <v>1</v>
      </c>
      <c r="H376" s="14">
        <v>-1</v>
      </c>
      <c r="I376" s="14">
        <v>7.5813470708400693E-2</v>
      </c>
      <c r="J376" s="14">
        <v>5.88985885118068E-2</v>
      </c>
      <c r="K376" s="14">
        <v>5.49789396167377E-2</v>
      </c>
      <c r="L376" s="14">
        <v>0</v>
      </c>
      <c r="Q376" s="14" t="s">
        <v>558</v>
      </c>
    </row>
    <row r="377" spans="1:17" x14ac:dyDescent="0.25">
      <c r="A377" s="14" t="s">
        <v>92</v>
      </c>
      <c r="B377" s="14" t="s">
        <v>66</v>
      </c>
      <c r="C377" s="14" t="s">
        <v>69</v>
      </c>
      <c r="D377" s="14">
        <v>0</v>
      </c>
      <c r="E377" s="14">
        <v>50</v>
      </c>
      <c r="F377" s="14" t="s">
        <v>65</v>
      </c>
      <c r="G377" s="14">
        <v>0</v>
      </c>
      <c r="H377" s="14">
        <v>-1</v>
      </c>
      <c r="I377" s="14">
        <v>7.4573408451689902E-2</v>
      </c>
      <c r="J377" s="14">
        <v>0.19982437711996601</v>
      </c>
      <c r="K377" s="14">
        <v>0.22507809071686799</v>
      </c>
      <c r="L377" s="14">
        <v>0</v>
      </c>
      <c r="Q377" s="14" t="s">
        <v>559</v>
      </c>
    </row>
    <row r="378" spans="1:17" x14ac:dyDescent="0.25">
      <c r="A378" s="14" t="s">
        <v>92</v>
      </c>
      <c r="B378" s="14" t="s">
        <v>66</v>
      </c>
      <c r="C378" s="14" t="s">
        <v>69</v>
      </c>
      <c r="D378" s="14">
        <v>0</v>
      </c>
      <c r="E378" s="14">
        <v>50</v>
      </c>
      <c r="F378" s="14" t="s">
        <v>65</v>
      </c>
      <c r="G378" s="14">
        <v>1</v>
      </c>
      <c r="H378" s="14">
        <v>1</v>
      </c>
      <c r="I378" s="14">
        <v>1.42156590095842E-2</v>
      </c>
      <c r="J378" s="14">
        <v>0.20216437705826701</v>
      </c>
      <c r="K378" s="14">
        <v>0.215712322711233</v>
      </c>
      <c r="L378" s="14">
        <v>0</v>
      </c>
      <c r="Q378" s="14" t="s">
        <v>560</v>
      </c>
    </row>
    <row r="379" spans="1:17" x14ac:dyDescent="0.25">
      <c r="A379" s="14" t="s">
        <v>92</v>
      </c>
      <c r="B379" s="14" t="s">
        <v>66</v>
      </c>
      <c r="C379" s="14" t="s">
        <v>69</v>
      </c>
      <c r="D379" s="14">
        <v>0</v>
      </c>
      <c r="E379" s="14">
        <v>50</v>
      </c>
      <c r="F379" s="14" t="s">
        <v>92</v>
      </c>
      <c r="G379" s="14">
        <v>0</v>
      </c>
      <c r="H379" s="14">
        <v>1</v>
      </c>
      <c r="I379" s="14">
        <v>7.4573408451711995E-2</v>
      </c>
      <c r="J379" s="14">
        <v>24.018119858824701</v>
      </c>
      <c r="K379" s="14">
        <v>24.5462219927471</v>
      </c>
      <c r="L379" s="14">
        <v>24.396948582171301</v>
      </c>
      <c r="Q379" s="14" t="s">
        <v>561</v>
      </c>
    </row>
    <row r="380" spans="1:17" x14ac:dyDescent="0.25">
      <c r="A380" s="14" t="s">
        <v>92</v>
      </c>
      <c r="B380" s="14" t="s">
        <v>66</v>
      </c>
      <c r="C380" s="14" t="s">
        <v>69</v>
      </c>
      <c r="D380" s="14">
        <v>0</v>
      </c>
      <c r="E380" s="14">
        <v>50</v>
      </c>
      <c r="F380" s="14" t="s">
        <v>92</v>
      </c>
      <c r="G380" s="14">
        <v>1</v>
      </c>
      <c r="H380" s="14">
        <v>1</v>
      </c>
      <c r="I380" s="14">
        <v>7.4573408451712994E-2</v>
      </c>
      <c r="J380" s="14">
        <v>0.199824377119978</v>
      </c>
      <c r="K380" s="14">
        <v>0.22507809071687401</v>
      </c>
      <c r="L380" s="14">
        <v>0</v>
      </c>
      <c r="Q380" s="14" t="s">
        <v>562</v>
      </c>
    </row>
    <row r="381" spans="1:17" x14ac:dyDescent="0.25">
      <c r="A381" s="14" t="s">
        <v>92</v>
      </c>
      <c r="B381" s="14" t="s">
        <v>66</v>
      </c>
      <c r="C381" s="14" t="s">
        <v>69</v>
      </c>
      <c r="D381" s="14">
        <v>0</v>
      </c>
      <c r="E381" s="14">
        <v>50</v>
      </c>
      <c r="F381" s="14" t="s">
        <v>93</v>
      </c>
      <c r="G381" s="14">
        <v>0</v>
      </c>
      <c r="H381" s="14">
        <v>1</v>
      </c>
      <c r="I381" s="14">
        <v>2.5511972519339701E-2</v>
      </c>
      <c r="J381" s="14">
        <v>1.9819949640881001E-2</v>
      </c>
      <c r="K381" s="14">
        <v>1.8500949548125201E-2</v>
      </c>
      <c r="L381" s="14">
        <v>0</v>
      </c>
      <c r="Q381" s="14" t="s">
        <v>563</v>
      </c>
    </row>
    <row r="382" spans="1:17" x14ac:dyDescent="0.25">
      <c r="A382" s="14" t="s">
        <v>92</v>
      </c>
      <c r="B382" s="14" t="s">
        <v>66</v>
      </c>
      <c r="C382" s="14" t="s">
        <v>69</v>
      </c>
      <c r="D382" s="14">
        <v>0</v>
      </c>
      <c r="E382" s="14">
        <v>50</v>
      </c>
      <c r="F382" s="14" t="s">
        <v>93</v>
      </c>
      <c r="G382" s="14">
        <v>1</v>
      </c>
      <c r="H382" s="14">
        <v>-1</v>
      </c>
      <c r="I382" s="14">
        <v>2.5511972519339701E-2</v>
      </c>
      <c r="J382" s="14">
        <v>1.9819949640881001E-2</v>
      </c>
      <c r="K382" s="14">
        <v>1.8500949548125201E-2</v>
      </c>
      <c r="L382" s="14">
        <v>0</v>
      </c>
      <c r="Q382" s="14" t="s">
        <v>564</v>
      </c>
    </row>
    <row r="383" spans="1:17" x14ac:dyDescent="0.25">
      <c r="A383" s="14" t="s">
        <v>92</v>
      </c>
      <c r="B383" s="14" t="s">
        <v>66</v>
      </c>
      <c r="C383" s="14" t="s">
        <v>69</v>
      </c>
      <c r="D383" s="14">
        <v>0</v>
      </c>
      <c r="E383" s="14">
        <v>50</v>
      </c>
      <c r="F383" s="14" t="s">
        <v>94</v>
      </c>
      <c r="G383" s="14">
        <v>0</v>
      </c>
      <c r="H383" s="14">
        <v>-1</v>
      </c>
      <c r="I383" s="14">
        <v>1.4215659009590299E-2</v>
      </c>
      <c r="J383" s="14">
        <v>0.202164377058277</v>
      </c>
      <c r="K383" s="14">
        <v>0.21571232271124</v>
      </c>
      <c r="L383" s="14">
        <v>0</v>
      </c>
      <c r="Q383" s="14" t="s">
        <v>565</v>
      </c>
    </row>
    <row r="384" spans="1:17" x14ac:dyDescent="0.25">
      <c r="A384" s="14" t="s">
        <v>92</v>
      </c>
      <c r="B384" s="14" t="s">
        <v>66</v>
      </c>
      <c r="C384" s="14" t="s">
        <v>69</v>
      </c>
      <c r="D384" s="14">
        <v>0</v>
      </c>
      <c r="E384" s="14">
        <v>50</v>
      </c>
      <c r="F384" s="14" t="s">
        <v>94</v>
      </c>
      <c r="G384" s="14">
        <v>1</v>
      </c>
      <c r="H384" s="14">
        <v>1</v>
      </c>
      <c r="I384" s="14">
        <v>0.25330638219812601</v>
      </c>
      <c r="J384" s="14">
        <v>0.20843465247263099</v>
      </c>
      <c r="K384" s="14">
        <v>0.46151871338037997</v>
      </c>
      <c r="L384" s="14">
        <v>0</v>
      </c>
      <c r="Q384" s="14" t="s">
        <v>566</v>
      </c>
    </row>
    <row r="385" spans="1:17" x14ac:dyDescent="0.25">
      <c r="A385" s="14" t="s">
        <v>92</v>
      </c>
      <c r="B385" s="14" t="s">
        <v>66</v>
      </c>
      <c r="C385" s="14" t="s">
        <v>69</v>
      </c>
      <c r="D385" s="14">
        <v>0</v>
      </c>
      <c r="E385" s="14">
        <v>98</v>
      </c>
      <c r="F385" s="14" t="s">
        <v>91</v>
      </c>
      <c r="G385" s="14">
        <v>0</v>
      </c>
      <c r="H385" s="14">
        <v>1</v>
      </c>
      <c r="I385" s="14">
        <v>8.0502254974048906E-2</v>
      </c>
      <c r="J385" s="14">
        <v>6.9154341229383895E-2</v>
      </c>
      <c r="K385" s="14">
        <v>6.6455733878975604E-2</v>
      </c>
      <c r="L385" s="14">
        <v>0</v>
      </c>
      <c r="Q385" s="14" t="s">
        <v>567</v>
      </c>
    </row>
    <row r="386" spans="1:17" x14ac:dyDescent="0.25">
      <c r="A386" s="14" t="s">
        <v>92</v>
      </c>
      <c r="B386" s="14" t="s">
        <v>66</v>
      </c>
      <c r="C386" s="14" t="s">
        <v>69</v>
      </c>
      <c r="D386" s="14">
        <v>0</v>
      </c>
      <c r="E386" s="14">
        <v>98</v>
      </c>
      <c r="F386" s="14" t="s">
        <v>91</v>
      </c>
      <c r="G386" s="14">
        <v>1</v>
      </c>
      <c r="H386" s="14">
        <v>-1</v>
      </c>
      <c r="I386" s="14">
        <v>8.0502254974048906E-2</v>
      </c>
      <c r="J386" s="14">
        <v>6.9154341229383895E-2</v>
      </c>
      <c r="K386" s="14">
        <v>6.6455733878975604E-2</v>
      </c>
      <c r="L386" s="14">
        <v>0</v>
      </c>
      <c r="Q386" s="14" t="s">
        <v>568</v>
      </c>
    </row>
    <row r="387" spans="1:17" x14ac:dyDescent="0.25">
      <c r="A387" s="14" t="s">
        <v>92</v>
      </c>
      <c r="B387" s="14" t="s">
        <v>66</v>
      </c>
      <c r="C387" s="14" t="s">
        <v>69</v>
      </c>
      <c r="D387" s="14">
        <v>0</v>
      </c>
      <c r="E387" s="14">
        <v>98</v>
      </c>
      <c r="F387" s="14" t="s">
        <v>65</v>
      </c>
      <c r="G387" s="14">
        <v>0</v>
      </c>
      <c r="H387" s="14">
        <v>-1</v>
      </c>
      <c r="I387" s="14">
        <v>7.4161299741964698E-2</v>
      </c>
      <c r="J387" s="14">
        <v>0.201042165548832</v>
      </c>
      <c r="K387" s="14">
        <v>0.22572514110126399</v>
      </c>
      <c r="L387" s="14">
        <v>0</v>
      </c>
      <c r="Q387" s="14" t="s">
        <v>569</v>
      </c>
    </row>
    <row r="388" spans="1:17" x14ac:dyDescent="0.25">
      <c r="A388" s="14" t="s">
        <v>92</v>
      </c>
      <c r="B388" s="14" t="s">
        <v>66</v>
      </c>
      <c r="C388" s="14" t="s">
        <v>69</v>
      </c>
      <c r="D388" s="14">
        <v>0</v>
      </c>
      <c r="E388" s="14">
        <v>98</v>
      </c>
      <c r="F388" s="14" t="s">
        <v>65</v>
      </c>
      <c r="G388" s="14">
        <v>1</v>
      </c>
      <c r="H388" s="14">
        <v>1</v>
      </c>
      <c r="I388" s="14">
        <v>1.34182029223131E-2</v>
      </c>
      <c r="J388" s="14">
        <v>0.20395712845458799</v>
      </c>
      <c r="K388" s="14">
        <v>0.21670949654874699</v>
      </c>
      <c r="L388" s="14">
        <v>0</v>
      </c>
      <c r="Q388" s="14" t="s">
        <v>570</v>
      </c>
    </row>
    <row r="389" spans="1:17" x14ac:dyDescent="0.25">
      <c r="A389" s="14" t="s">
        <v>92</v>
      </c>
      <c r="B389" s="14" t="s">
        <v>66</v>
      </c>
      <c r="C389" s="14" t="s">
        <v>69</v>
      </c>
      <c r="D389" s="14">
        <v>0</v>
      </c>
      <c r="E389" s="14">
        <v>98</v>
      </c>
      <c r="F389" s="14" t="s">
        <v>92</v>
      </c>
      <c r="G389" s="14">
        <v>0</v>
      </c>
      <c r="H389" s="14">
        <v>1</v>
      </c>
      <c r="I389" s="14">
        <v>7.4161299741934306E-2</v>
      </c>
      <c r="J389" s="14">
        <v>15.7853780266708</v>
      </c>
      <c r="K389" s="14">
        <v>16.011197142549499</v>
      </c>
      <c r="L389" s="14">
        <v>15.992061012451501</v>
      </c>
      <c r="Q389" s="14" t="s">
        <v>571</v>
      </c>
    </row>
    <row r="390" spans="1:17" x14ac:dyDescent="0.25">
      <c r="A390" s="14" t="s">
        <v>92</v>
      </c>
      <c r="B390" s="14" t="s">
        <v>66</v>
      </c>
      <c r="C390" s="14" t="s">
        <v>69</v>
      </c>
      <c r="D390" s="14">
        <v>0</v>
      </c>
      <c r="E390" s="14">
        <v>98</v>
      </c>
      <c r="F390" s="14" t="s">
        <v>92</v>
      </c>
      <c r="G390" s="14">
        <v>1</v>
      </c>
      <c r="H390" s="14">
        <v>1</v>
      </c>
      <c r="I390" s="14">
        <v>7.4161299742126194E-2</v>
      </c>
      <c r="J390" s="14">
        <v>0.20104216554905099</v>
      </c>
      <c r="K390" s="14">
        <v>0.22572514110141501</v>
      </c>
      <c r="L390" s="14">
        <v>0</v>
      </c>
      <c r="Q390" s="14" t="s">
        <v>572</v>
      </c>
    </row>
    <row r="391" spans="1:17" x14ac:dyDescent="0.25">
      <c r="A391" s="14" t="s">
        <v>92</v>
      </c>
      <c r="B391" s="14" t="s">
        <v>66</v>
      </c>
      <c r="C391" s="14" t="s">
        <v>69</v>
      </c>
      <c r="D391" s="14">
        <v>0</v>
      </c>
      <c r="E391" s="14">
        <v>98</v>
      </c>
      <c r="F391" s="14" t="s">
        <v>93</v>
      </c>
      <c r="G391" s="14">
        <v>0</v>
      </c>
      <c r="H391" s="14">
        <v>1</v>
      </c>
      <c r="I391" s="14">
        <v>2.70897941678758E-2</v>
      </c>
      <c r="J391" s="14">
        <v>2.3271110484084302E-2</v>
      </c>
      <c r="K391" s="14">
        <v>2.23630027834235E-2</v>
      </c>
      <c r="L391" s="14">
        <v>0</v>
      </c>
      <c r="Q391" s="14" t="s">
        <v>573</v>
      </c>
    </row>
    <row r="392" spans="1:17" x14ac:dyDescent="0.25">
      <c r="A392" s="14" t="s">
        <v>92</v>
      </c>
      <c r="B392" s="14" t="s">
        <v>66</v>
      </c>
      <c r="C392" s="14" t="s">
        <v>69</v>
      </c>
      <c r="D392" s="14">
        <v>0</v>
      </c>
      <c r="E392" s="14">
        <v>98</v>
      </c>
      <c r="F392" s="14" t="s">
        <v>93</v>
      </c>
      <c r="G392" s="14">
        <v>1</v>
      </c>
      <c r="H392" s="14">
        <v>-1</v>
      </c>
      <c r="I392" s="14">
        <v>2.70897941678758E-2</v>
      </c>
      <c r="J392" s="14">
        <v>2.3271110484084302E-2</v>
      </c>
      <c r="K392" s="14">
        <v>2.23630027834235E-2</v>
      </c>
      <c r="L392" s="14">
        <v>0</v>
      </c>
      <c r="Q392" s="14" t="s">
        <v>574</v>
      </c>
    </row>
    <row r="393" spans="1:17" x14ac:dyDescent="0.25">
      <c r="A393" s="14" t="s">
        <v>92</v>
      </c>
      <c r="B393" s="14" t="s">
        <v>66</v>
      </c>
      <c r="C393" s="14" t="s">
        <v>69</v>
      </c>
      <c r="D393" s="14">
        <v>0</v>
      </c>
      <c r="E393" s="14">
        <v>98</v>
      </c>
      <c r="F393" s="14" t="s">
        <v>94</v>
      </c>
      <c r="G393" s="14">
        <v>0</v>
      </c>
      <c r="H393" s="14">
        <v>-1</v>
      </c>
      <c r="I393" s="14">
        <v>1.34182029223168E-2</v>
      </c>
      <c r="J393" s="14">
        <v>0.203957128454582</v>
      </c>
      <c r="K393" s="14">
        <v>0.216709496548744</v>
      </c>
      <c r="L393" s="14">
        <v>0</v>
      </c>
      <c r="Q393" s="14" t="s">
        <v>575</v>
      </c>
    </row>
    <row r="394" spans="1:17" x14ac:dyDescent="0.25">
      <c r="A394" s="14" t="s">
        <v>92</v>
      </c>
      <c r="B394" s="14" t="s">
        <v>66</v>
      </c>
      <c r="C394" s="14" t="s">
        <v>69</v>
      </c>
      <c r="D394" s="14">
        <v>0</v>
      </c>
      <c r="E394" s="14">
        <v>98</v>
      </c>
      <c r="F394" s="14" t="s">
        <v>94</v>
      </c>
      <c r="G394" s="14">
        <v>1</v>
      </c>
      <c r="H394" s="14">
        <v>1</v>
      </c>
      <c r="I394" s="14">
        <v>0.253523611297305</v>
      </c>
      <c r="J394" s="14">
        <v>0.21128555826796699</v>
      </c>
      <c r="K394" s="14">
        <v>0.46460179862130202</v>
      </c>
      <c r="L394" s="14">
        <v>0</v>
      </c>
      <c r="Q394" s="14" t="s">
        <v>576</v>
      </c>
    </row>
    <row r="395" spans="1:17" x14ac:dyDescent="0.25">
      <c r="A395" s="14" t="s">
        <v>92</v>
      </c>
      <c r="B395" s="14" t="s">
        <v>66</v>
      </c>
      <c r="C395" s="14" t="s">
        <v>69</v>
      </c>
      <c r="D395" s="14">
        <v>5</v>
      </c>
      <c r="E395" s="14">
        <v>2</v>
      </c>
      <c r="F395" s="14" t="s">
        <v>91</v>
      </c>
      <c r="G395" s="14">
        <v>0</v>
      </c>
      <c r="H395" s="14">
        <v>1</v>
      </c>
      <c r="I395" s="14">
        <v>7.4417248453807899E-2</v>
      </c>
      <c r="J395" s="14">
        <v>7.5822237939203799E-2</v>
      </c>
      <c r="K395" s="14">
        <v>4.4312511435812198E-2</v>
      </c>
      <c r="L395" s="14">
        <v>0</v>
      </c>
      <c r="Q395" s="14" t="s">
        <v>577</v>
      </c>
    </row>
    <row r="396" spans="1:17" x14ac:dyDescent="0.25">
      <c r="A396" s="14" t="s">
        <v>92</v>
      </c>
      <c r="B396" s="14" t="s">
        <v>66</v>
      </c>
      <c r="C396" s="14" t="s">
        <v>69</v>
      </c>
      <c r="D396" s="14">
        <v>5</v>
      </c>
      <c r="E396" s="14">
        <v>2</v>
      </c>
      <c r="F396" s="14" t="s">
        <v>91</v>
      </c>
      <c r="G396" s="14">
        <v>1</v>
      </c>
      <c r="H396" s="14">
        <v>-1</v>
      </c>
      <c r="I396" s="14">
        <v>7.4417248453807899E-2</v>
      </c>
      <c r="J396" s="14">
        <v>7.5822237939203799E-2</v>
      </c>
      <c r="K396" s="14">
        <v>4.4312511435812198E-2</v>
      </c>
      <c r="L396" s="14">
        <v>0</v>
      </c>
      <c r="Q396" s="14" t="s">
        <v>578</v>
      </c>
    </row>
    <row r="397" spans="1:17" x14ac:dyDescent="0.25">
      <c r="A397" s="14" t="s">
        <v>92</v>
      </c>
      <c r="B397" s="14" t="s">
        <v>66</v>
      </c>
      <c r="C397" s="14" t="s">
        <v>69</v>
      </c>
      <c r="D397" s="14">
        <v>5</v>
      </c>
      <c r="E397" s="14">
        <v>2</v>
      </c>
      <c r="F397" s="14" t="s">
        <v>65</v>
      </c>
      <c r="G397" s="14">
        <v>0</v>
      </c>
      <c r="H397" s="14">
        <v>-1</v>
      </c>
      <c r="I397" s="14">
        <v>6.5194397311137797E-2</v>
      </c>
      <c r="J397" s="14">
        <v>0.120419886433995</v>
      </c>
      <c r="K397" s="14">
        <v>0.16131246667466601</v>
      </c>
      <c r="L397" s="14">
        <v>0</v>
      </c>
      <c r="Q397" s="14" t="s">
        <v>579</v>
      </c>
    </row>
    <row r="398" spans="1:17" x14ac:dyDescent="0.25">
      <c r="A398" s="14" t="s">
        <v>92</v>
      </c>
      <c r="B398" s="14" t="s">
        <v>66</v>
      </c>
      <c r="C398" s="14" t="s">
        <v>69</v>
      </c>
      <c r="D398" s="14">
        <v>5</v>
      </c>
      <c r="E398" s="14">
        <v>2</v>
      </c>
      <c r="F398" s="14" t="s">
        <v>65</v>
      </c>
      <c r="G398" s="14">
        <v>1</v>
      </c>
      <c r="H398" s="14">
        <v>1</v>
      </c>
      <c r="I398" s="14">
        <v>2.0201282628471099E-2</v>
      </c>
      <c r="J398" s="14">
        <v>0.14980112147698599</v>
      </c>
      <c r="K398" s="14">
        <v>0.12973881897104</v>
      </c>
      <c r="L398" s="14">
        <v>0</v>
      </c>
      <c r="Q398" s="14" t="s">
        <v>580</v>
      </c>
    </row>
    <row r="399" spans="1:17" x14ac:dyDescent="0.25">
      <c r="A399" s="14" t="s">
        <v>92</v>
      </c>
      <c r="B399" s="14" t="s">
        <v>66</v>
      </c>
      <c r="C399" s="14" t="s">
        <v>69</v>
      </c>
      <c r="D399" s="14">
        <v>5</v>
      </c>
      <c r="E399" s="14">
        <v>2</v>
      </c>
      <c r="F399" s="14" t="s">
        <v>92</v>
      </c>
      <c r="G399" s="14">
        <v>0</v>
      </c>
      <c r="H399" s="14">
        <v>1</v>
      </c>
      <c r="I399" s="14">
        <v>6.5194397310988098E-2</v>
      </c>
      <c r="J399" s="14">
        <v>34.883449400257298</v>
      </c>
      <c r="K399" s="14">
        <v>35.808976276002802</v>
      </c>
      <c r="L399" s="14">
        <v>36.053775802473602</v>
      </c>
      <c r="Q399" s="14" t="s">
        <v>581</v>
      </c>
    </row>
    <row r="400" spans="1:17" x14ac:dyDescent="0.25">
      <c r="A400" s="14" t="s">
        <v>92</v>
      </c>
      <c r="B400" s="14" t="s">
        <v>66</v>
      </c>
      <c r="C400" s="14" t="s">
        <v>69</v>
      </c>
      <c r="D400" s="14">
        <v>5</v>
      </c>
      <c r="E400" s="14">
        <v>2</v>
      </c>
      <c r="F400" s="14" t="s">
        <v>92</v>
      </c>
      <c r="G400" s="14">
        <v>1</v>
      </c>
      <c r="H400" s="14">
        <v>1</v>
      </c>
      <c r="I400" s="14">
        <v>6.51943973111377E-2</v>
      </c>
      <c r="J400" s="14">
        <v>0.120419886433986</v>
      </c>
      <c r="K400" s="14">
        <v>0.16131246667466501</v>
      </c>
      <c r="L400" s="14">
        <v>0</v>
      </c>
      <c r="Q400" s="14" t="s">
        <v>582</v>
      </c>
    </row>
    <row r="401" spans="1:17" x14ac:dyDescent="0.25">
      <c r="A401" s="14" t="s">
        <v>92</v>
      </c>
      <c r="B401" s="14" t="s">
        <v>66</v>
      </c>
      <c r="C401" s="14" t="s">
        <v>69</v>
      </c>
      <c r="D401" s="14">
        <v>5</v>
      </c>
      <c r="E401" s="14">
        <v>2</v>
      </c>
      <c r="F401" s="14" t="s">
        <v>93</v>
      </c>
      <c r="G401" s="14">
        <v>0</v>
      </c>
      <c r="H401" s="14">
        <v>1</v>
      </c>
      <c r="I401" s="14">
        <v>2.5042130109315101E-2</v>
      </c>
      <c r="J401" s="14">
        <v>2.5514922778034702E-2</v>
      </c>
      <c r="K401" s="14">
        <v>1.49115924050166E-2</v>
      </c>
      <c r="L401" s="14">
        <v>0</v>
      </c>
      <c r="Q401" s="14" t="s">
        <v>583</v>
      </c>
    </row>
    <row r="402" spans="1:17" x14ac:dyDescent="0.25">
      <c r="A402" s="14" t="s">
        <v>92</v>
      </c>
      <c r="B402" s="14" t="s">
        <v>66</v>
      </c>
      <c r="C402" s="14" t="s">
        <v>69</v>
      </c>
      <c r="D402" s="14">
        <v>5</v>
      </c>
      <c r="E402" s="14">
        <v>2</v>
      </c>
      <c r="F402" s="14" t="s">
        <v>93</v>
      </c>
      <c r="G402" s="14">
        <v>1</v>
      </c>
      <c r="H402" s="14">
        <v>-1</v>
      </c>
      <c r="I402" s="14">
        <v>2.5042130109315101E-2</v>
      </c>
      <c r="J402" s="14">
        <v>2.5514922778034702E-2</v>
      </c>
      <c r="K402" s="14">
        <v>1.49115924050166E-2</v>
      </c>
      <c r="L402" s="14">
        <v>0</v>
      </c>
      <c r="Q402" s="14" t="s">
        <v>584</v>
      </c>
    </row>
    <row r="403" spans="1:17" x14ac:dyDescent="0.25">
      <c r="A403" s="14" t="s">
        <v>92</v>
      </c>
      <c r="B403" s="14" t="s">
        <v>66</v>
      </c>
      <c r="C403" s="14" t="s">
        <v>69</v>
      </c>
      <c r="D403" s="14">
        <v>5</v>
      </c>
      <c r="E403" s="14">
        <v>2</v>
      </c>
      <c r="F403" s="14" t="s">
        <v>94</v>
      </c>
      <c r="G403" s="14">
        <v>0</v>
      </c>
      <c r="H403" s="14">
        <v>-1</v>
      </c>
      <c r="I403" s="14">
        <v>2.0201282628480699E-2</v>
      </c>
      <c r="J403" s="14">
        <v>0.14980112147698099</v>
      </c>
      <c r="K403" s="14">
        <v>0.12973881897103201</v>
      </c>
      <c r="L403" s="14">
        <v>0</v>
      </c>
      <c r="Q403" s="14" t="s">
        <v>585</v>
      </c>
    </row>
    <row r="404" spans="1:17" x14ac:dyDescent="0.25">
      <c r="A404" s="14" t="s">
        <v>92</v>
      </c>
      <c r="B404" s="14" t="s">
        <v>66</v>
      </c>
      <c r="C404" s="14" t="s">
        <v>69</v>
      </c>
      <c r="D404" s="14">
        <v>5</v>
      </c>
      <c r="E404" s="14">
        <v>2</v>
      </c>
      <c r="F404" s="14" t="s">
        <v>94</v>
      </c>
      <c r="G404" s="14">
        <v>1</v>
      </c>
      <c r="H404" s="14">
        <v>1</v>
      </c>
      <c r="I404" s="14">
        <v>0.12119363178574501</v>
      </c>
      <c r="J404" s="14">
        <v>0.18764988279394501</v>
      </c>
      <c r="K404" s="14">
        <v>0.30873973767406598</v>
      </c>
      <c r="L404" s="14">
        <v>0</v>
      </c>
      <c r="Q404" s="14" t="s">
        <v>586</v>
      </c>
    </row>
    <row r="405" spans="1:17" x14ac:dyDescent="0.25">
      <c r="A405" s="14" t="s">
        <v>92</v>
      </c>
      <c r="B405" s="14" t="s">
        <v>66</v>
      </c>
      <c r="C405" s="14" t="s">
        <v>69</v>
      </c>
      <c r="D405" s="14">
        <v>5</v>
      </c>
      <c r="E405" s="14">
        <v>50</v>
      </c>
      <c r="F405" s="14" t="s">
        <v>91</v>
      </c>
      <c r="G405" s="14">
        <v>0</v>
      </c>
      <c r="H405" s="14">
        <v>1</v>
      </c>
      <c r="I405" s="14">
        <v>7.9058622287696806E-2</v>
      </c>
      <c r="J405" s="14">
        <v>7.1638678906445805E-2</v>
      </c>
      <c r="K405" s="14">
        <v>5.9366938790139101E-2</v>
      </c>
      <c r="L405" s="14">
        <v>0</v>
      </c>
      <c r="Q405" s="14" t="s">
        <v>587</v>
      </c>
    </row>
    <row r="406" spans="1:17" x14ac:dyDescent="0.25">
      <c r="A406" s="14" t="s">
        <v>92</v>
      </c>
      <c r="B406" s="14" t="s">
        <v>66</v>
      </c>
      <c r="C406" s="14" t="s">
        <v>69</v>
      </c>
      <c r="D406" s="14">
        <v>5</v>
      </c>
      <c r="E406" s="14">
        <v>50</v>
      </c>
      <c r="F406" s="14" t="s">
        <v>91</v>
      </c>
      <c r="G406" s="14">
        <v>1</v>
      </c>
      <c r="H406" s="14">
        <v>-1</v>
      </c>
      <c r="I406" s="14">
        <v>7.9058622287696806E-2</v>
      </c>
      <c r="J406" s="14">
        <v>7.1638678906445805E-2</v>
      </c>
      <c r="K406" s="14">
        <v>5.9366938790139101E-2</v>
      </c>
      <c r="L406" s="14">
        <v>0</v>
      </c>
      <c r="Q406" s="14" t="s">
        <v>588</v>
      </c>
    </row>
    <row r="407" spans="1:17" x14ac:dyDescent="0.25">
      <c r="A407" s="14" t="s">
        <v>92</v>
      </c>
      <c r="B407" s="14" t="s">
        <v>66</v>
      </c>
      <c r="C407" s="14" t="s">
        <v>69</v>
      </c>
      <c r="D407" s="14">
        <v>5</v>
      </c>
      <c r="E407" s="14">
        <v>50</v>
      </c>
      <c r="F407" s="14" t="s">
        <v>65</v>
      </c>
      <c r="G407" s="14">
        <v>0</v>
      </c>
      <c r="H407" s="14">
        <v>-1</v>
      </c>
      <c r="I407" s="14">
        <v>6.9835032320514995E-2</v>
      </c>
      <c r="J407" s="14">
        <v>0.159936216082078</v>
      </c>
      <c r="K407" s="14">
        <v>0.19498564676593599</v>
      </c>
      <c r="L407" s="14">
        <v>0</v>
      </c>
      <c r="Q407" s="14" t="s">
        <v>589</v>
      </c>
    </row>
    <row r="408" spans="1:17" x14ac:dyDescent="0.25">
      <c r="A408" s="14" t="s">
        <v>92</v>
      </c>
      <c r="B408" s="14" t="s">
        <v>66</v>
      </c>
      <c r="C408" s="14" t="s">
        <v>69</v>
      </c>
      <c r="D408" s="14">
        <v>5</v>
      </c>
      <c r="E408" s="14">
        <v>50</v>
      </c>
      <c r="F408" s="14" t="s">
        <v>65</v>
      </c>
      <c r="G408" s="14">
        <v>1</v>
      </c>
      <c r="H408" s="14">
        <v>1</v>
      </c>
      <c r="I408" s="14">
        <v>5.9821768587795601E-3</v>
      </c>
      <c r="J408" s="14">
        <v>0.17564133097905099</v>
      </c>
      <c r="K408" s="14">
        <v>0.16966285022550201</v>
      </c>
      <c r="L408" s="14">
        <v>0</v>
      </c>
      <c r="Q408" s="14" t="s">
        <v>590</v>
      </c>
    </row>
    <row r="409" spans="1:17" x14ac:dyDescent="0.25">
      <c r="A409" s="14" t="s">
        <v>92</v>
      </c>
      <c r="B409" s="14" t="s">
        <v>66</v>
      </c>
      <c r="C409" s="14" t="s">
        <v>69</v>
      </c>
      <c r="D409" s="14">
        <v>5</v>
      </c>
      <c r="E409" s="14">
        <v>50</v>
      </c>
      <c r="F409" s="14" t="s">
        <v>92</v>
      </c>
      <c r="G409" s="14">
        <v>0</v>
      </c>
      <c r="H409" s="14">
        <v>1</v>
      </c>
      <c r="I409" s="14">
        <v>6.9835032320529705E-2</v>
      </c>
      <c r="J409" s="14">
        <v>20.3817479040565</v>
      </c>
      <c r="K409" s="14">
        <v>20.760546144595299</v>
      </c>
      <c r="L409" s="14">
        <v>20.8013817146402</v>
      </c>
      <c r="Q409" s="14" t="s">
        <v>591</v>
      </c>
    </row>
    <row r="410" spans="1:17" x14ac:dyDescent="0.25">
      <c r="A410" s="14" t="s">
        <v>92</v>
      </c>
      <c r="B410" s="14" t="s">
        <v>66</v>
      </c>
      <c r="C410" s="14" t="s">
        <v>69</v>
      </c>
      <c r="D410" s="14">
        <v>5</v>
      </c>
      <c r="E410" s="14">
        <v>50</v>
      </c>
      <c r="F410" s="14" t="s">
        <v>92</v>
      </c>
      <c r="G410" s="14">
        <v>1</v>
      </c>
      <c r="H410" s="14">
        <v>1</v>
      </c>
      <c r="I410" s="14">
        <v>6.98350323205333E-2</v>
      </c>
      <c r="J410" s="14">
        <v>0.159936216082085</v>
      </c>
      <c r="K410" s="14">
        <v>0.19498564676595001</v>
      </c>
      <c r="L410" s="14">
        <v>0</v>
      </c>
      <c r="Q410" s="14" t="s">
        <v>592</v>
      </c>
    </row>
    <row r="411" spans="1:17" x14ac:dyDescent="0.25">
      <c r="A411" s="14" t="s">
        <v>92</v>
      </c>
      <c r="B411" s="14" t="s">
        <v>66</v>
      </c>
      <c r="C411" s="14" t="s">
        <v>69</v>
      </c>
      <c r="D411" s="14">
        <v>5</v>
      </c>
      <c r="E411" s="14">
        <v>50</v>
      </c>
      <c r="F411" s="14" t="s">
        <v>93</v>
      </c>
      <c r="G411" s="14">
        <v>0</v>
      </c>
      <c r="H411" s="14">
        <v>1</v>
      </c>
      <c r="I411" s="14">
        <v>2.6603997685035598E-2</v>
      </c>
      <c r="J411" s="14">
        <v>2.4107114349280801E-2</v>
      </c>
      <c r="K411" s="14">
        <v>1.9977554078707101E-2</v>
      </c>
      <c r="L411" s="14">
        <v>0</v>
      </c>
      <c r="Q411" s="14" t="s">
        <v>593</v>
      </c>
    </row>
    <row r="412" spans="1:17" x14ac:dyDescent="0.25">
      <c r="A412" s="14" t="s">
        <v>92</v>
      </c>
      <c r="B412" s="14" t="s">
        <v>66</v>
      </c>
      <c r="C412" s="14" t="s">
        <v>69</v>
      </c>
      <c r="D412" s="14">
        <v>5</v>
      </c>
      <c r="E412" s="14">
        <v>50</v>
      </c>
      <c r="F412" s="14" t="s">
        <v>93</v>
      </c>
      <c r="G412" s="14">
        <v>1</v>
      </c>
      <c r="H412" s="14">
        <v>-1</v>
      </c>
      <c r="I412" s="14">
        <v>2.6603997685035598E-2</v>
      </c>
      <c r="J412" s="14">
        <v>2.4107114349280801E-2</v>
      </c>
      <c r="K412" s="14">
        <v>1.9977554078707101E-2</v>
      </c>
      <c r="L412" s="14">
        <v>0</v>
      </c>
      <c r="Q412" s="14" t="s">
        <v>594</v>
      </c>
    </row>
    <row r="413" spans="1:17" x14ac:dyDescent="0.25">
      <c r="A413" s="14" t="s">
        <v>92</v>
      </c>
      <c r="B413" s="14" t="s">
        <v>66</v>
      </c>
      <c r="C413" s="14" t="s">
        <v>69</v>
      </c>
      <c r="D413" s="14">
        <v>5</v>
      </c>
      <c r="E413" s="14">
        <v>50</v>
      </c>
      <c r="F413" s="14" t="s">
        <v>94</v>
      </c>
      <c r="G413" s="14">
        <v>0</v>
      </c>
      <c r="H413" s="14">
        <v>-1</v>
      </c>
      <c r="I413" s="14">
        <v>5.9821768587793797E-3</v>
      </c>
      <c r="J413" s="14">
        <v>0.17564133097905099</v>
      </c>
      <c r="K413" s="14">
        <v>0.16966285022550701</v>
      </c>
      <c r="L413" s="14">
        <v>0</v>
      </c>
      <c r="Q413" s="14" t="s">
        <v>595</v>
      </c>
    </row>
    <row r="414" spans="1:17" x14ac:dyDescent="0.25">
      <c r="A414" s="14" t="s">
        <v>92</v>
      </c>
      <c r="B414" s="14" t="s">
        <v>66</v>
      </c>
      <c r="C414" s="14" t="s">
        <v>69</v>
      </c>
      <c r="D414" s="14">
        <v>5</v>
      </c>
      <c r="E414" s="14">
        <v>50</v>
      </c>
      <c r="F414" s="14" t="s">
        <v>94</v>
      </c>
      <c r="G414" s="14">
        <v>1</v>
      </c>
      <c r="H414" s="14">
        <v>1</v>
      </c>
      <c r="I414" s="14">
        <v>0.18078905700529899</v>
      </c>
      <c r="J414" s="14">
        <v>0.20059865478015301</v>
      </c>
      <c r="K414" s="14">
        <v>0.381387073937689</v>
      </c>
      <c r="L414" s="14">
        <v>0</v>
      </c>
      <c r="Q414" s="14" t="s">
        <v>596</v>
      </c>
    </row>
    <row r="415" spans="1:17" x14ac:dyDescent="0.25">
      <c r="A415" s="14" t="s">
        <v>92</v>
      </c>
      <c r="B415" s="14" t="s">
        <v>66</v>
      </c>
      <c r="C415" s="14" t="s">
        <v>69</v>
      </c>
      <c r="D415" s="14">
        <v>5</v>
      </c>
      <c r="E415" s="14">
        <v>98</v>
      </c>
      <c r="F415" s="14" t="s">
        <v>91</v>
      </c>
      <c r="G415" s="14">
        <v>0</v>
      </c>
      <c r="H415" s="14">
        <v>1</v>
      </c>
      <c r="I415" s="14">
        <v>8.1870101047545704E-2</v>
      </c>
      <c r="J415" s="14">
        <v>7.4673797348619994E-2</v>
      </c>
      <c r="K415" s="14">
        <v>6.8176776661405397E-2</v>
      </c>
      <c r="L415" s="14">
        <v>0</v>
      </c>
      <c r="Q415" s="14" t="s">
        <v>597</v>
      </c>
    </row>
    <row r="416" spans="1:17" x14ac:dyDescent="0.25">
      <c r="A416" s="14" t="s">
        <v>92</v>
      </c>
      <c r="B416" s="14" t="s">
        <v>66</v>
      </c>
      <c r="C416" s="14" t="s">
        <v>69</v>
      </c>
      <c r="D416" s="14">
        <v>5</v>
      </c>
      <c r="E416" s="14">
        <v>98</v>
      </c>
      <c r="F416" s="14" t="s">
        <v>91</v>
      </c>
      <c r="G416" s="14">
        <v>1</v>
      </c>
      <c r="H416" s="14">
        <v>-1</v>
      </c>
      <c r="I416" s="14">
        <v>8.1870101047545704E-2</v>
      </c>
      <c r="J416" s="14">
        <v>7.4673797348619994E-2</v>
      </c>
      <c r="K416" s="14">
        <v>6.8176776661405397E-2</v>
      </c>
      <c r="L416" s="14">
        <v>0</v>
      </c>
      <c r="Q416" s="14" t="s">
        <v>598</v>
      </c>
    </row>
    <row r="417" spans="1:17" x14ac:dyDescent="0.25">
      <c r="A417" s="14" t="s">
        <v>92</v>
      </c>
      <c r="B417" s="14" t="s">
        <v>66</v>
      </c>
      <c r="C417" s="14" t="s">
        <v>69</v>
      </c>
      <c r="D417" s="14">
        <v>5</v>
      </c>
      <c r="E417" s="14">
        <v>98</v>
      </c>
      <c r="F417" s="14" t="s">
        <v>65</v>
      </c>
      <c r="G417" s="14">
        <v>0</v>
      </c>
      <c r="H417" s="14">
        <v>-1</v>
      </c>
      <c r="I417" s="14">
        <v>7.1208174986008593E-2</v>
      </c>
      <c r="J417" s="14">
        <v>0.174613771099975</v>
      </c>
      <c r="K417" s="14">
        <v>0.20665058160255401</v>
      </c>
      <c r="L417" s="14">
        <v>0</v>
      </c>
      <c r="Q417" s="14" t="s">
        <v>599</v>
      </c>
    </row>
    <row r="418" spans="1:17" x14ac:dyDescent="0.25">
      <c r="A418" s="14" t="s">
        <v>92</v>
      </c>
      <c r="B418" s="14" t="s">
        <v>66</v>
      </c>
      <c r="C418" s="14" t="s">
        <v>69</v>
      </c>
      <c r="D418" s="14">
        <v>5</v>
      </c>
      <c r="E418" s="14">
        <v>98</v>
      </c>
      <c r="F418" s="14" t="s">
        <v>65</v>
      </c>
      <c r="G418" s="14">
        <v>1</v>
      </c>
      <c r="H418" s="14">
        <v>1</v>
      </c>
      <c r="I418" s="14">
        <v>4.5600116041876702E-4</v>
      </c>
      <c r="J418" s="14">
        <v>0.18617447351419</v>
      </c>
      <c r="K418" s="14">
        <v>0.18582086592031399</v>
      </c>
      <c r="L418" s="14">
        <v>0</v>
      </c>
      <c r="Q418" s="14" t="s">
        <v>600</v>
      </c>
    </row>
    <row r="419" spans="1:17" x14ac:dyDescent="0.25">
      <c r="A419" s="14" t="s">
        <v>92</v>
      </c>
      <c r="B419" s="14" t="s">
        <v>66</v>
      </c>
      <c r="C419" s="14" t="s">
        <v>69</v>
      </c>
      <c r="D419" s="14">
        <v>5</v>
      </c>
      <c r="E419" s="14">
        <v>98</v>
      </c>
      <c r="F419" s="14" t="s">
        <v>92</v>
      </c>
      <c r="G419" s="14">
        <v>0</v>
      </c>
      <c r="H419" s="14">
        <v>1</v>
      </c>
      <c r="I419" s="14">
        <v>7.1208174985981296E-2</v>
      </c>
      <c r="J419" s="14">
        <v>14.221217244844301</v>
      </c>
      <c r="K419" s="14">
        <v>14.422875405258999</v>
      </c>
      <c r="L419" s="14">
        <v>14.457182442471399</v>
      </c>
      <c r="Q419" s="14" t="s">
        <v>601</v>
      </c>
    </row>
    <row r="420" spans="1:17" x14ac:dyDescent="0.25">
      <c r="A420" s="14" t="s">
        <v>92</v>
      </c>
      <c r="B420" s="14" t="s">
        <v>66</v>
      </c>
      <c r="C420" s="14" t="s">
        <v>69</v>
      </c>
      <c r="D420" s="14">
        <v>5</v>
      </c>
      <c r="E420" s="14">
        <v>98</v>
      </c>
      <c r="F420" s="14" t="s">
        <v>92</v>
      </c>
      <c r="G420" s="14">
        <v>1</v>
      </c>
      <c r="H420" s="14">
        <v>1</v>
      </c>
      <c r="I420" s="14">
        <v>7.1208174986228903E-2</v>
      </c>
      <c r="J420" s="14">
        <v>0.17461377110010901</v>
      </c>
      <c r="K420" s="14">
        <v>0.20665058160270899</v>
      </c>
      <c r="L420" s="14">
        <v>0</v>
      </c>
      <c r="Q420" s="14" t="s">
        <v>602</v>
      </c>
    </row>
    <row r="421" spans="1:17" x14ac:dyDescent="0.25">
      <c r="A421" s="14" t="s">
        <v>92</v>
      </c>
      <c r="B421" s="14" t="s">
        <v>66</v>
      </c>
      <c r="C421" s="14" t="s">
        <v>69</v>
      </c>
      <c r="D421" s="14">
        <v>5</v>
      </c>
      <c r="E421" s="14">
        <v>98</v>
      </c>
      <c r="F421" s="14" t="s">
        <v>93</v>
      </c>
      <c r="G421" s="14">
        <v>0</v>
      </c>
      <c r="H421" s="14">
        <v>1</v>
      </c>
      <c r="I421" s="14">
        <v>2.7550087716128598E-2</v>
      </c>
      <c r="J421" s="14">
        <v>2.5128461315273899E-2</v>
      </c>
      <c r="K421" s="14">
        <v>2.2942150469971001E-2</v>
      </c>
      <c r="L421" s="14">
        <v>0</v>
      </c>
      <c r="Q421" s="14" t="s">
        <v>603</v>
      </c>
    </row>
    <row r="422" spans="1:17" x14ac:dyDescent="0.25">
      <c r="A422" s="14" t="s">
        <v>92</v>
      </c>
      <c r="B422" s="14" t="s">
        <v>66</v>
      </c>
      <c r="C422" s="14" t="s">
        <v>69</v>
      </c>
      <c r="D422" s="14">
        <v>5</v>
      </c>
      <c r="E422" s="14">
        <v>98</v>
      </c>
      <c r="F422" s="14" t="s">
        <v>93</v>
      </c>
      <c r="G422" s="14">
        <v>1</v>
      </c>
      <c r="H422" s="14">
        <v>-1</v>
      </c>
      <c r="I422" s="14">
        <v>2.7550087716128598E-2</v>
      </c>
      <c r="J422" s="14">
        <v>2.5128461315273899E-2</v>
      </c>
      <c r="K422" s="14">
        <v>2.2942150469971001E-2</v>
      </c>
      <c r="L422" s="14">
        <v>0</v>
      </c>
      <c r="Q422" s="14" t="s">
        <v>604</v>
      </c>
    </row>
    <row r="423" spans="1:17" x14ac:dyDescent="0.25">
      <c r="A423" s="14" t="s">
        <v>92</v>
      </c>
      <c r="B423" s="14" t="s">
        <v>66</v>
      </c>
      <c r="C423" s="14" t="s">
        <v>69</v>
      </c>
      <c r="D423" s="14">
        <v>5</v>
      </c>
      <c r="E423" s="14">
        <v>98</v>
      </c>
      <c r="F423" s="14" t="s">
        <v>94</v>
      </c>
      <c r="G423" s="14">
        <v>0</v>
      </c>
      <c r="H423" s="14">
        <v>-1</v>
      </c>
      <c r="I423" s="14">
        <v>4.5600116042369298E-4</v>
      </c>
      <c r="J423" s="14">
        <v>0.186174473514195</v>
      </c>
      <c r="K423" s="14">
        <v>0.18582086592031599</v>
      </c>
      <c r="L423" s="14">
        <v>0</v>
      </c>
      <c r="Q423" s="14" t="s">
        <v>605</v>
      </c>
    </row>
    <row r="424" spans="1:17" x14ac:dyDescent="0.25">
      <c r="A424" s="14" t="s">
        <v>92</v>
      </c>
      <c r="B424" s="14" t="s">
        <v>66</v>
      </c>
      <c r="C424" s="14" t="s">
        <v>69</v>
      </c>
      <c r="D424" s="14">
        <v>5</v>
      </c>
      <c r="E424" s="14">
        <v>98</v>
      </c>
      <c r="F424" s="14" t="s">
        <v>94</v>
      </c>
      <c r="G424" s="14">
        <v>1</v>
      </c>
      <c r="H424" s="14">
        <v>1</v>
      </c>
      <c r="I424" s="14">
        <v>0.204848369631113</v>
      </c>
      <c r="J424" s="14">
        <v>0.20602004151980699</v>
      </c>
      <c r="K424" s="14">
        <v>0.41086730353349898</v>
      </c>
      <c r="L424" s="14">
        <v>0</v>
      </c>
      <c r="Q424" s="14" t="s">
        <v>606</v>
      </c>
    </row>
    <row r="425" spans="1:17" x14ac:dyDescent="0.25">
      <c r="A425" s="14" t="s">
        <v>92</v>
      </c>
      <c r="B425" s="14" t="s">
        <v>66</v>
      </c>
      <c r="C425" s="14" t="s">
        <v>69</v>
      </c>
      <c r="D425" s="14">
        <v>10</v>
      </c>
      <c r="E425" s="14">
        <v>2</v>
      </c>
      <c r="F425" s="14" t="s">
        <v>91</v>
      </c>
      <c r="G425" s="14">
        <v>0</v>
      </c>
      <c r="H425" s="14">
        <v>1</v>
      </c>
      <c r="I425" s="14">
        <v>8.2436718645059595E-2</v>
      </c>
      <c r="J425" s="14">
        <v>8.6576832348696606E-2</v>
      </c>
      <c r="K425" s="14">
        <v>6.5250979992323696E-2</v>
      </c>
      <c r="L425" s="14">
        <v>0</v>
      </c>
      <c r="Q425" s="14" t="s">
        <v>607</v>
      </c>
    </row>
    <row r="426" spans="1:17" x14ac:dyDescent="0.25">
      <c r="A426" s="14" t="s">
        <v>92</v>
      </c>
      <c r="B426" s="14" t="s">
        <v>66</v>
      </c>
      <c r="C426" s="14" t="s">
        <v>69</v>
      </c>
      <c r="D426" s="14">
        <v>10</v>
      </c>
      <c r="E426" s="14">
        <v>2</v>
      </c>
      <c r="F426" s="14" t="s">
        <v>91</v>
      </c>
      <c r="G426" s="14">
        <v>1</v>
      </c>
      <c r="H426" s="14">
        <v>-1</v>
      </c>
      <c r="I426" s="14">
        <v>8.2436718645059595E-2</v>
      </c>
      <c r="J426" s="14">
        <v>8.6576832348696606E-2</v>
      </c>
      <c r="K426" s="14">
        <v>6.5250979992323696E-2</v>
      </c>
      <c r="L426" s="14">
        <v>0</v>
      </c>
      <c r="Q426" s="14" t="s">
        <v>608</v>
      </c>
    </row>
    <row r="427" spans="1:17" x14ac:dyDescent="0.25">
      <c r="A427" s="14" t="s">
        <v>92</v>
      </c>
      <c r="B427" s="14" t="s">
        <v>66</v>
      </c>
      <c r="C427" s="14" t="s">
        <v>69</v>
      </c>
      <c r="D427" s="14">
        <v>10</v>
      </c>
      <c r="E427" s="14">
        <v>2</v>
      </c>
      <c r="F427" s="14" t="s">
        <v>65</v>
      </c>
      <c r="G427" s="14">
        <v>0</v>
      </c>
      <c r="H427" s="14">
        <v>-1</v>
      </c>
      <c r="I427" s="14">
        <v>5.8683657247018399E-2</v>
      </c>
      <c r="J427" s="14">
        <v>7.4195351267376697E-2</v>
      </c>
      <c r="K427" s="14">
        <v>0.114707072306898</v>
      </c>
      <c r="L427" s="14">
        <v>0</v>
      </c>
      <c r="Q427" s="14" t="s">
        <v>609</v>
      </c>
    </row>
    <row r="428" spans="1:17" x14ac:dyDescent="0.25">
      <c r="A428" s="14" t="s">
        <v>92</v>
      </c>
      <c r="B428" s="14" t="s">
        <v>66</v>
      </c>
      <c r="C428" s="14" t="s">
        <v>69</v>
      </c>
      <c r="D428" s="14">
        <v>10</v>
      </c>
      <c r="E428" s="14">
        <v>2</v>
      </c>
      <c r="F428" s="14" t="s">
        <v>65</v>
      </c>
      <c r="G428" s="14">
        <v>1</v>
      </c>
      <c r="H428" s="14">
        <v>-1</v>
      </c>
      <c r="I428" s="14">
        <v>3.3814776801672101E-2</v>
      </c>
      <c r="J428" s="14">
        <v>0.109571787638955</v>
      </c>
      <c r="K428" s="14">
        <v>7.6630962650851106E-2</v>
      </c>
      <c r="L428" s="14">
        <v>0</v>
      </c>
      <c r="Q428" s="14" t="s">
        <v>610</v>
      </c>
    </row>
    <row r="429" spans="1:17" x14ac:dyDescent="0.25">
      <c r="A429" s="14" t="s">
        <v>92</v>
      </c>
      <c r="B429" s="14" t="s">
        <v>66</v>
      </c>
      <c r="C429" s="14" t="s">
        <v>69</v>
      </c>
      <c r="D429" s="14">
        <v>10</v>
      </c>
      <c r="E429" s="14">
        <v>2</v>
      </c>
      <c r="F429" s="14" t="s">
        <v>92</v>
      </c>
      <c r="G429" s="14">
        <v>0</v>
      </c>
      <c r="H429" s="14">
        <v>1</v>
      </c>
      <c r="I429" s="14">
        <v>5.8683657246825401E-2</v>
      </c>
      <c r="J429" s="14">
        <v>23.022820506998301</v>
      </c>
      <c r="K429" s="14">
        <v>23.315748076989401</v>
      </c>
      <c r="L429" s="14">
        <v>23.5864655050691</v>
      </c>
      <c r="Q429" s="14" t="s">
        <v>611</v>
      </c>
    </row>
    <row r="430" spans="1:17" x14ac:dyDescent="0.25">
      <c r="A430" s="14" t="s">
        <v>92</v>
      </c>
      <c r="B430" s="14" t="s">
        <v>66</v>
      </c>
      <c r="C430" s="14" t="s">
        <v>69</v>
      </c>
      <c r="D430" s="14">
        <v>10</v>
      </c>
      <c r="E430" s="14">
        <v>2</v>
      </c>
      <c r="F430" s="14" t="s">
        <v>92</v>
      </c>
      <c r="G430" s="14">
        <v>1</v>
      </c>
      <c r="H430" s="14">
        <v>1</v>
      </c>
      <c r="I430" s="14">
        <v>5.8683657247006797E-2</v>
      </c>
      <c r="J430" s="14">
        <v>7.4195351267372506E-2</v>
      </c>
      <c r="K430" s="14">
        <v>0.114707072306885</v>
      </c>
      <c r="L430" s="14">
        <v>0</v>
      </c>
      <c r="Q430" s="14" t="s">
        <v>612</v>
      </c>
    </row>
    <row r="431" spans="1:17" x14ac:dyDescent="0.25">
      <c r="A431" s="14" t="s">
        <v>92</v>
      </c>
      <c r="B431" s="14" t="s">
        <v>66</v>
      </c>
      <c r="C431" s="14" t="s">
        <v>69</v>
      </c>
      <c r="D431" s="14">
        <v>10</v>
      </c>
      <c r="E431" s="14">
        <v>2</v>
      </c>
      <c r="F431" s="14" t="s">
        <v>93</v>
      </c>
      <c r="G431" s="14">
        <v>0</v>
      </c>
      <c r="H431" s="14">
        <v>1</v>
      </c>
      <c r="I431" s="14">
        <v>2.77407600655371E-2</v>
      </c>
      <c r="J431" s="14">
        <v>2.9133948717198901E-2</v>
      </c>
      <c r="K431" s="14">
        <v>2.1957591347149301E-2</v>
      </c>
      <c r="L431" s="14">
        <v>0</v>
      </c>
      <c r="Q431" s="14" t="s">
        <v>613</v>
      </c>
    </row>
    <row r="432" spans="1:17" x14ac:dyDescent="0.25">
      <c r="A432" s="14" t="s">
        <v>92</v>
      </c>
      <c r="B432" s="14" t="s">
        <v>66</v>
      </c>
      <c r="C432" s="14" t="s">
        <v>69</v>
      </c>
      <c r="D432" s="14">
        <v>10</v>
      </c>
      <c r="E432" s="14">
        <v>2</v>
      </c>
      <c r="F432" s="14" t="s">
        <v>93</v>
      </c>
      <c r="G432" s="14">
        <v>1</v>
      </c>
      <c r="H432" s="14">
        <v>-1</v>
      </c>
      <c r="I432" s="14">
        <v>2.77407600655371E-2</v>
      </c>
      <c r="J432" s="14">
        <v>2.9133948717198901E-2</v>
      </c>
      <c r="K432" s="14">
        <v>2.1957591347149301E-2</v>
      </c>
      <c r="L432" s="14">
        <v>0</v>
      </c>
      <c r="Q432" s="14" t="s">
        <v>614</v>
      </c>
    </row>
    <row r="433" spans="1:17" x14ac:dyDescent="0.25">
      <c r="A433" s="14" t="s">
        <v>92</v>
      </c>
      <c r="B433" s="14" t="s">
        <v>66</v>
      </c>
      <c r="C433" s="14" t="s">
        <v>69</v>
      </c>
      <c r="D433" s="14">
        <v>10</v>
      </c>
      <c r="E433" s="14">
        <v>2</v>
      </c>
      <c r="F433" s="14" t="s">
        <v>94</v>
      </c>
      <c r="G433" s="14">
        <v>0</v>
      </c>
      <c r="H433" s="14">
        <v>1</v>
      </c>
      <c r="I433" s="14">
        <v>3.38147768016843E-2</v>
      </c>
      <c r="J433" s="14">
        <v>0.109571787638963</v>
      </c>
      <c r="K433" s="14">
        <v>7.6630962650847095E-2</v>
      </c>
      <c r="L433" s="14">
        <v>0</v>
      </c>
      <c r="Q433" s="14" t="s">
        <v>615</v>
      </c>
    </row>
    <row r="434" spans="1:17" x14ac:dyDescent="0.25">
      <c r="A434" s="14" t="s">
        <v>92</v>
      </c>
      <c r="B434" s="14" t="s">
        <v>66</v>
      </c>
      <c r="C434" s="14" t="s">
        <v>69</v>
      </c>
      <c r="D434" s="14">
        <v>10</v>
      </c>
      <c r="E434" s="14">
        <v>2</v>
      </c>
      <c r="F434" s="14" t="s">
        <v>94</v>
      </c>
      <c r="G434" s="14">
        <v>1</v>
      </c>
      <c r="H434" s="14">
        <v>1</v>
      </c>
      <c r="I434" s="14">
        <v>4.9708591920924097E-2</v>
      </c>
      <c r="J434" s="14">
        <v>0.15785614058318001</v>
      </c>
      <c r="K434" s="14">
        <v>0.205487120391043</v>
      </c>
      <c r="L434" s="14">
        <v>0</v>
      </c>
      <c r="Q434" s="14" t="s">
        <v>616</v>
      </c>
    </row>
    <row r="435" spans="1:17" x14ac:dyDescent="0.25">
      <c r="A435" s="14" t="s">
        <v>92</v>
      </c>
      <c r="B435" s="14" t="s">
        <v>66</v>
      </c>
      <c r="C435" s="14" t="s">
        <v>69</v>
      </c>
      <c r="D435" s="14">
        <v>10</v>
      </c>
      <c r="E435" s="14">
        <v>50</v>
      </c>
      <c r="F435" s="14" t="s">
        <v>91</v>
      </c>
      <c r="G435" s="14">
        <v>0</v>
      </c>
      <c r="H435" s="14">
        <v>1</v>
      </c>
      <c r="I435" s="14">
        <v>8.2426497844247507E-2</v>
      </c>
      <c r="J435" s="14">
        <v>7.9963570167861805E-2</v>
      </c>
      <c r="K435" s="14">
        <v>6.7395870713863895E-2</v>
      </c>
      <c r="L435" s="14">
        <v>0</v>
      </c>
      <c r="Q435" s="14" t="s">
        <v>617</v>
      </c>
    </row>
    <row r="436" spans="1:17" x14ac:dyDescent="0.25">
      <c r="A436" s="14" t="s">
        <v>92</v>
      </c>
      <c r="B436" s="14" t="s">
        <v>66</v>
      </c>
      <c r="C436" s="14" t="s">
        <v>69</v>
      </c>
      <c r="D436" s="14">
        <v>10</v>
      </c>
      <c r="E436" s="14">
        <v>50</v>
      </c>
      <c r="F436" s="14" t="s">
        <v>91</v>
      </c>
      <c r="G436" s="14">
        <v>1</v>
      </c>
      <c r="H436" s="14">
        <v>-1</v>
      </c>
      <c r="I436" s="14">
        <v>8.2426497844247507E-2</v>
      </c>
      <c r="J436" s="14">
        <v>7.9963570167861805E-2</v>
      </c>
      <c r="K436" s="14">
        <v>6.7395870713863895E-2</v>
      </c>
      <c r="L436" s="14">
        <v>0</v>
      </c>
      <c r="Q436" s="14" t="s">
        <v>618</v>
      </c>
    </row>
    <row r="437" spans="1:17" x14ac:dyDescent="0.25">
      <c r="A437" s="14" t="s">
        <v>92</v>
      </c>
      <c r="B437" s="14" t="s">
        <v>66</v>
      </c>
      <c r="C437" s="14" t="s">
        <v>69</v>
      </c>
      <c r="D437" s="14">
        <v>10</v>
      </c>
      <c r="E437" s="14">
        <v>50</v>
      </c>
      <c r="F437" s="14" t="s">
        <v>65</v>
      </c>
      <c r="G437" s="14">
        <v>0</v>
      </c>
      <c r="H437" s="14">
        <v>-1</v>
      </c>
      <c r="I437" s="14">
        <v>6.4702078278172995E-2</v>
      </c>
      <c r="J437" s="14">
        <v>0.12270163937443</v>
      </c>
      <c r="K437" s="14">
        <v>0.16145034289193599</v>
      </c>
      <c r="L437" s="14">
        <v>0</v>
      </c>
      <c r="Q437" s="14" t="s">
        <v>619</v>
      </c>
    </row>
    <row r="438" spans="1:17" x14ac:dyDescent="0.25">
      <c r="A438" s="14" t="s">
        <v>92</v>
      </c>
      <c r="B438" s="14" t="s">
        <v>66</v>
      </c>
      <c r="C438" s="14" t="s">
        <v>69</v>
      </c>
      <c r="D438" s="14">
        <v>10</v>
      </c>
      <c r="E438" s="14">
        <v>50</v>
      </c>
      <c r="F438" s="14" t="s">
        <v>65</v>
      </c>
      <c r="G438" s="14">
        <v>1</v>
      </c>
      <c r="H438" s="14">
        <v>1</v>
      </c>
      <c r="I438" s="14">
        <v>1.9316427882895101E-2</v>
      </c>
      <c r="J438" s="14">
        <v>0.14581873664706299</v>
      </c>
      <c r="K438" s="14">
        <v>0.12653543460025399</v>
      </c>
      <c r="L438" s="14">
        <v>0</v>
      </c>
      <c r="Q438" s="14" t="s">
        <v>620</v>
      </c>
    </row>
    <row r="439" spans="1:17" x14ac:dyDescent="0.25">
      <c r="A439" s="14" t="s">
        <v>92</v>
      </c>
      <c r="B439" s="14" t="s">
        <v>66</v>
      </c>
      <c r="C439" s="14" t="s">
        <v>69</v>
      </c>
      <c r="D439" s="14">
        <v>10</v>
      </c>
      <c r="E439" s="14">
        <v>50</v>
      </c>
      <c r="F439" s="14" t="s">
        <v>92</v>
      </c>
      <c r="G439" s="14">
        <v>0</v>
      </c>
      <c r="H439" s="14">
        <v>1</v>
      </c>
      <c r="I439" s="14">
        <v>6.4702078278183597E-2</v>
      </c>
      <c r="J439" s="14">
        <v>16.373342046985499</v>
      </c>
      <c r="K439" s="14">
        <v>16.595732966278099</v>
      </c>
      <c r="L439" s="14">
        <v>16.706812600587298</v>
      </c>
      <c r="Q439" s="14" t="s">
        <v>621</v>
      </c>
    </row>
    <row r="440" spans="1:17" x14ac:dyDescent="0.25">
      <c r="A440" s="14" t="s">
        <v>92</v>
      </c>
      <c r="B440" s="14" t="s">
        <v>66</v>
      </c>
      <c r="C440" s="14" t="s">
        <v>69</v>
      </c>
      <c r="D440" s="14">
        <v>10</v>
      </c>
      <c r="E440" s="14">
        <v>50</v>
      </c>
      <c r="F440" s="14" t="s">
        <v>92</v>
      </c>
      <c r="G440" s="14">
        <v>1</v>
      </c>
      <c r="H440" s="14">
        <v>1</v>
      </c>
      <c r="I440" s="14">
        <v>6.4702078278189606E-2</v>
      </c>
      <c r="J440" s="14">
        <v>0.12270163937443999</v>
      </c>
      <c r="K440" s="14">
        <v>0.16145034289194099</v>
      </c>
      <c r="L440" s="14">
        <v>0</v>
      </c>
      <c r="Q440" s="14" t="s">
        <v>622</v>
      </c>
    </row>
    <row r="441" spans="1:17" x14ac:dyDescent="0.25">
      <c r="A441" s="14" t="s">
        <v>92</v>
      </c>
      <c r="B441" s="14" t="s">
        <v>66</v>
      </c>
      <c r="C441" s="14" t="s">
        <v>69</v>
      </c>
      <c r="D441" s="14">
        <v>10</v>
      </c>
      <c r="E441" s="14">
        <v>50</v>
      </c>
      <c r="F441" s="14" t="s">
        <v>93</v>
      </c>
      <c r="G441" s="14">
        <v>0</v>
      </c>
      <c r="H441" s="14">
        <v>1</v>
      </c>
      <c r="I441" s="14">
        <v>2.7737320666353499E-2</v>
      </c>
      <c r="J441" s="14">
        <v>2.6908521475260901E-2</v>
      </c>
      <c r="K441" s="14">
        <v>2.2679368000213199E-2</v>
      </c>
      <c r="L441" s="14">
        <v>0</v>
      </c>
      <c r="Q441" s="14" t="s">
        <v>623</v>
      </c>
    </row>
    <row r="442" spans="1:17" x14ac:dyDescent="0.25">
      <c r="A442" s="14" t="s">
        <v>92</v>
      </c>
      <c r="B442" s="14" t="s">
        <v>66</v>
      </c>
      <c r="C442" s="14" t="s">
        <v>69</v>
      </c>
      <c r="D442" s="14">
        <v>10</v>
      </c>
      <c r="E442" s="14">
        <v>50</v>
      </c>
      <c r="F442" s="14" t="s">
        <v>93</v>
      </c>
      <c r="G442" s="14">
        <v>1</v>
      </c>
      <c r="H442" s="14">
        <v>-1</v>
      </c>
      <c r="I442" s="14">
        <v>2.7737320666353499E-2</v>
      </c>
      <c r="J442" s="14">
        <v>2.6908521475260901E-2</v>
      </c>
      <c r="K442" s="14">
        <v>2.2679368000213199E-2</v>
      </c>
      <c r="L442" s="14">
        <v>0</v>
      </c>
      <c r="Q442" s="14" t="s">
        <v>624</v>
      </c>
    </row>
    <row r="443" spans="1:17" x14ac:dyDescent="0.25">
      <c r="A443" s="14" t="s">
        <v>92</v>
      </c>
      <c r="B443" s="14" t="s">
        <v>66</v>
      </c>
      <c r="C443" s="14" t="s">
        <v>69</v>
      </c>
      <c r="D443" s="14">
        <v>10</v>
      </c>
      <c r="E443" s="14">
        <v>50</v>
      </c>
      <c r="F443" s="14" t="s">
        <v>94</v>
      </c>
      <c r="G443" s="14">
        <v>0</v>
      </c>
      <c r="H443" s="14">
        <v>-1</v>
      </c>
      <c r="I443" s="14">
        <v>1.93164278829028E-2</v>
      </c>
      <c r="J443" s="14">
        <v>0.14581873664706901</v>
      </c>
      <c r="K443" s="14">
        <v>0.126535434600244</v>
      </c>
      <c r="L443" s="14">
        <v>0</v>
      </c>
      <c r="Q443" s="14" t="s">
        <v>625</v>
      </c>
    </row>
    <row r="444" spans="1:17" x14ac:dyDescent="0.25">
      <c r="A444" s="14" t="s">
        <v>92</v>
      </c>
      <c r="B444" s="14" t="s">
        <v>66</v>
      </c>
      <c r="C444" s="14" t="s">
        <v>69</v>
      </c>
      <c r="D444" s="14">
        <v>10</v>
      </c>
      <c r="E444" s="14">
        <v>50</v>
      </c>
      <c r="F444" s="14" t="s">
        <v>94</v>
      </c>
      <c r="G444" s="14">
        <v>1</v>
      </c>
      <c r="H444" s="14">
        <v>1</v>
      </c>
      <c r="I444" s="14">
        <v>0.118472736275522</v>
      </c>
      <c r="J444" s="14">
        <v>0.182363122599525</v>
      </c>
      <c r="K444" s="14">
        <v>0.30081154554331102</v>
      </c>
      <c r="L444" s="14">
        <v>0</v>
      </c>
      <c r="Q444" s="14" t="s">
        <v>626</v>
      </c>
    </row>
    <row r="445" spans="1:17" x14ac:dyDescent="0.25">
      <c r="A445" s="14" t="s">
        <v>92</v>
      </c>
      <c r="B445" s="14" t="s">
        <v>66</v>
      </c>
      <c r="C445" s="14" t="s">
        <v>69</v>
      </c>
      <c r="D445" s="14">
        <v>10</v>
      </c>
      <c r="E445" s="14">
        <v>98</v>
      </c>
      <c r="F445" s="14" t="s">
        <v>91</v>
      </c>
      <c r="G445" s="14">
        <v>0</v>
      </c>
      <c r="H445" s="14">
        <v>1</v>
      </c>
      <c r="I445" s="14">
        <v>8.3484383087514005E-2</v>
      </c>
      <c r="J445" s="14">
        <v>7.9395399006468498E-2</v>
      </c>
      <c r="K445" s="14">
        <v>7.1618361318676896E-2</v>
      </c>
      <c r="L445" s="14">
        <v>0</v>
      </c>
      <c r="Q445" s="14" t="s">
        <v>627</v>
      </c>
    </row>
    <row r="446" spans="1:17" x14ac:dyDescent="0.25">
      <c r="A446" s="14" t="s">
        <v>92</v>
      </c>
      <c r="B446" s="14" t="s">
        <v>66</v>
      </c>
      <c r="C446" s="14" t="s">
        <v>69</v>
      </c>
      <c r="D446" s="14">
        <v>10</v>
      </c>
      <c r="E446" s="14">
        <v>98</v>
      </c>
      <c r="F446" s="14" t="s">
        <v>91</v>
      </c>
      <c r="G446" s="14">
        <v>1</v>
      </c>
      <c r="H446" s="14">
        <v>-1</v>
      </c>
      <c r="I446" s="14">
        <v>8.3484383087514005E-2</v>
      </c>
      <c r="J446" s="14">
        <v>7.9395399006468498E-2</v>
      </c>
      <c r="K446" s="14">
        <v>7.1618361318676896E-2</v>
      </c>
      <c r="L446" s="14">
        <v>0</v>
      </c>
      <c r="Q446" s="14" t="s">
        <v>628</v>
      </c>
    </row>
    <row r="447" spans="1:17" x14ac:dyDescent="0.25">
      <c r="A447" s="14" t="s">
        <v>92</v>
      </c>
      <c r="B447" s="14" t="s">
        <v>66</v>
      </c>
      <c r="C447" s="14" t="s">
        <v>69</v>
      </c>
      <c r="D447" s="14">
        <v>10</v>
      </c>
      <c r="E447" s="14">
        <v>98</v>
      </c>
      <c r="F447" s="14" t="s">
        <v>65</v>
      </c>
      <c r="G447" s="14">
        <v>0</v>
      </c>
      <c r="H447" s="14">
        <v>-1</v>
      </c>
      <c r="I447" s="14">
        <v>6.7662112532971594E-2</v>
      </c>
      <c r="J447" s="14">
        <v>0.147168029282326</v>
      </c>
      <c r="K447" s="14">
        <v>0.18336403318707101</v>
      </c>
      <c r="L447" s="14">
        <v>0</v>
      </c>
      <c r="Q447" s="14" t="s">
        <v>629</v>
      </c>
    </row>
    <row r="448" spans="1:17" x14ac:dyDescent="0.25">
      <c r="A448" s="14" t="s">
        <v>92</v>
      </c>
      <c r="B448" s="14" t="s">
        <v>66</v>
      </c>
      <c r="C448" s="14" t="s">
        <v>69</v>
      </c>
      <c r="D448" s="14">
        <v>10</v>
      </c>
      <c r="E448" s="14">
        <v>98</v>
      </c>
      <c r="F448" s="14" t="s">
        <v>65</v>
      </c>
      <c r="G448" s="14">
        <v>1</v>
      </c>
      <c r="H448" s="14">
        <v>1</v>
      </c>
      <c r="I448" s="14">
        <v>1.1125479463768399E-2</v>
      </c>
      <c r="J448" s="14">
        <v>0.16480432921480601</v>
      </c>
      <c r="K448" s="14">
        <v>0.153809913636172</v>
      </c>
      <c r="L448" s="14">
        <v>0</v>
      </c>
      <c r="Q448" s="14" t="s">
        <v>630</v>
      </c>
    </row>
    <row r="449" spans="1:17" x14ac:dyDescent="0.25">
      <c r="A449" s="14" t="s">
        <v>92</v>
      </c>
      <c r="B449" s="14" t="s">
        <v>66</v>
      </c>
      <c r="C449" s="14" t="s">
        <v>69</v>
      </c>
      <c r="D449" s="14">
        <v>10</v>
      </c>
      <c r="E449" s="14">
        <v>98</v>
      </c>
      <c r="F449" s="14" t="s">
        <v>92</v>
      </c>
      <c r="G449" s="14">
        <v>0</v>
      </c>
      <c r="H449" s="14">
        <v>1</v>
      </c>
      <c r="I449" s="14">
        <v>6.7662112532941798E-2</v>
      </c>
      <c r="J449" s="14">
        <v>12.375696400306399</v>
      </c>
      <c r="K449" s="14">
        <v>12.5315923616511</v>
      </c>
      <c r="L449" s="14">
        <v>12.6007195965744</v>
      </c>
      <c r="Q449" s="14" t="s">
        <v>631</v>
      </c>
    </row>
    <row r="450" spans="1:17" x14ac:dyDescent="0.25">
      <c r="A450" s="14" t="s">
        <v>92</v>
      </c>
      <c r="B450" s="14" t="s">
        <v>66</v>
      </c>
      <c r="C450" s="14" t="s">
        <v>69</v>
      </c>
      <c r="D450" s="14">
        <v>10</v>
      </c>
      <c r="E450" s="14">
        <v>98</v>
      </c>
      <c r="F450" s="14" t="s">
        <v>92</v>
      </c>
      <c r="G450" s="14">
        <v>1</v>
      </c>
      <c r="H450" s="14">
        <v>1</v>
      </c>
      <c r="I450" s="14">
        <v>6.7662112533084198E-2</v>
      </c>
      <c r="J450" s="14">
        <v>0.14716802928244899</v>
      </c>
      <c r="K450" s="14">
        <v>0.183364033187145</v>
      </c>
      <c r="L450" s="14">
        <v>0</v>
      </c>
      <c r="Q450" s="14" t="s">
        <v>632</v>
      </c>
    </row>
    <row r="451" spans="1:17" x14ac:dyDescent="0.25">
      <c r="A451" s="14" t="s">
        <v>92</v>
      </c>
      <c r="B451" s="14" t="s">
        <v>66</v>
      </c>
      <c r="C451" s="14" t="s">
        <v>69</v>
      </c>
      <c r="D451" s="14">
        <v>10</v>
      </c>
      <c r="E451" s="14">
        <v>98</v>
      </c>
      <c r="F451" s="14" t="s">
        <v>93</v>
      </c>
      <c r="G451" s="14">
        <v>0</v>
      </c>
      <c r="H451" s="14">
        <v>1</v>
      </c>
      <c r="I451" s="14">
        <v>2.8093309371298902E-2</v>
      </c>
      <c r="J451" s="14">
        <v>2.6717326336450499E-2</v>
      </c>
      <c r="K451" s="14">
        <v>2.41002772827811E-2</v>
      </c>
      <c r="L451" s="14">
        <v>0</v>
      </c>
      <c r="Q451" s="14" t="s">
        <v>633</v>
      </c>
    </row>
    <row r="452" spans="1:17" x14ac:dyDescent="0.25">
      <c r="A452" s="14" t="s">
        <v>92</v>
      </c>
      <c r="B452" s="14" t="s">
        <v>66</v>
      </c>
      <c r="C452" s="14" t="s">
        <v>69</v>
      </c>
      <c r="D452" s="14">
        <v>10</v>
      </c>
      <c r="E452" s="14">
        <v>98</v>
      </c>
      <c r="F452" s="14" t="s">
        <v>93</v>
      </c>
      <c r="G452" s="14">
        <v>1</v>
      </c>
      <c r="H452" s="14">
        <v>-1</v>
      </c>
      <c r="I452" s="14">
        <v>2.8093309371298902E-2</v>
      </c>
      <c r="J452" s="14">
        <v>2.6717326336450499E-2</v>
      </c>
      <c r="K452" s="14">
        <v>2.41002772827811E-2</v>
      </c>
      <c r="L452" s="14">
        <v>0</v>
      </c>
      <c r="Q452" s="14" t="s">
        <v>634</v>
      </c>
    </row>
    <row r="453" spans="1:17" x14ac:dyDescent="0.25">
      <c r="A453" s="14" t="s">
        <v>92</v>
      </c>
      <c r="B453" s="14" t="s">
        <v>66</v>
      </c>
      <c r="C453" s="14" t="s">
        <v>69</v>
      </c>
      <c r="D453" s="14">
        <v>10</v>
      </c>
      <c r="E453" s="14">
        <v>98</v>
      </c>
      <c r="F453" s="14" t="s">
        <v>94</v>
      </c>
      <c r="G453" s="14">
        <v>0</v>
      </c>
      <c r="H453" s="14">
        <v>-1</v>
      </c>
      <c r="I453" s="14">
        <v>1.11254794637665E-2</v>
      </c>
      <c r="J453" s="14">
        <v>0.164804329214814</v>
      </c>
      <c r="K453" s="14">
        <v>0.15380991363618099</v>
      </c>
      <c r="L453" s="14">
        <v>0</v>
      </c>
      <c r="Q453" s="14" t="s">
        <v>635</v>
      </c>
    </row>
    <row r="454" spans="1:17" x14ac:dyDescent="0.25">
      <c r="A454" s="14" t="s">
        <v>92</v>
      </c>
      <c r="B454" s="14" t="s">
        <v>66</v>
      </c>
      <c r="C454" s="14" t="s">
        <v>69</v>
      </c>
      <c r="D454" s="14">
        <v>10</v>
      </c>
      <c r="E454" s="14">
        <v>98</v>
      </c>
      <c r="F454" s="14" t="s">
        <v>94</v>
      </c>
      <c r="G454" s="14">
        <v>1</v>
      </c>
      <c r="H454" s="14">
        <v>1</v>
      </c>
      <c r="I454" s="14">
        <v>0.157761589620041</v>
      </c>
      <c r="J454" s="14">
        <v>0.19418725334538101</v>
      </c>
      <c r="K454" s="14">
        <v>0.35190318500179202</v>
      </c>
      <c r="L454" s="14">
        <v>0</v>
      </c>
      <c r="Q454" s="14" t="s">
        <v>636</v>
      </c>
    </row>
    <row r="455" spans="1:17" x14ac:dyDescent="0.25">
      <c r="A455" s="14" t="s">
        <v>92</v>
      </c>
      <c r="B455" s="14" t="s">
        <v>66</v>
      </c>
      <c r="C455" s="14" t="s">
        <v>69</v>
      </c>
      <c r="D455" s="14">
        <v>30</v>
      </c>
      <c r="E455" s="14">
        <v>2</v>
      </c>
      <c r="F455" s="14" t="s">
        <v>91</v>
      </c>
      <c r="G455" s="14">
        <v>0</v>
      </c>
      <c r="H455" s="14">
        <v>1</v>
      </c>
      <c r="I455" s="14">
        <v>8.7882165047203906E-2</v>
      </c>
      <c r="J455" s="14">
        <v>9.0508267107334006E-2</v>
      </c>
      <c r="K455" s="14">
        <v>8.21195225848282E-2</v>
      </c>
      <c r="L455" s="14">
        <v>0</v>
      </c>
      <c r="Q455" s="14" t="s">
        <v>637</v>
      </c>
    </row>
    <row r="456" spans="1:17" x14ac:dyDescent="0.25">
      <c r="A456" s="14" t="s">
        <v>92</v>
      </c>
      <c r="B456" s="14" t="s">
        <v>66</v>
      </c>
      <c r="C456" s="14" t="s">
        <v>69</v>
      </c>
      <c r="D456" s="14">
        <v>30</v>
      </c>
      <c r="E456" s="14">
        <v>2</v>
      </c>
      <c r="F456" s="14" t="s">
        <v>91</v>
      </c>
      <c r="G456" s="14">
        <v>1</v>
      </c>
      <c r="H456" s="14">
        <v>-1</v>
      </c>
      <c r="I456" s="14">
        <v>8.7882165047203906E-2</v>
      </c>
      <c r="J456" s="14">
        <v>9.0508267107334006E-2</v>
      </c>
      <c r="K456" s="14">
        <v>8.21195225848282E-2</v>
      </c>
      <c r="L456" s="14">
        <v>0</v>
      </c>
      <c r="Q456" s="14" t="s">
        <v>638</v>
      </c>
    </row>
    <row r="457" spans="1:17" x14ac:dyDescent="0.25">
      <c r="A457" s="14" t="s">
        <v>92</v>
      </c>
      <c r="B457" s="14" t="s">
        <v>66</v>
      </c>
      <c r="C457" s="14" t="s">
        <v>69</v>
      </c>
      <c r="D457" s="14">
        <v>30</v>
      </c>
      <c r="E457" s="14">
        <v>2</v>
      </c>
      <c r="F457" s="14" t="s">
        <v>65</v>
      </c>
      <c r="G457" s="14">
        <v>0</v>
      </c>
      <c r="H457" s="14">
        <v>-1</v>
      </c>
      <c r="I457" s="14">
        <v>5.4956541620701002E-2</v>
      </c>
      <c r="J457" s="14">
        <v>4.3479824289541502E-2</v>
      </c>
      <c r="K457" s="14">
        <v>6.8543787512688595E-2</v>
      </c>
      <c r="L457" s="14">
        <v>0</v>
      </c>
      <c r="Q457" s="14" t="s">
        <v>639</v>
      </c>
    </row>
    <row r="458" spans="1:17" x14ac:dyDescent="0.25">
      <c r="A458" s="14" t="s">
        <v>92</v>
      </c>
      <c r="B458" s="14" t="s">
        <v>66</v>
      </c>
      <c r="C458" s="14" t="s">
        <v>69</v>
      </c>
      <c r="D458" s="14">
        <v>30</v>
      </c>
      <c r="E458" s="14">
        <v>2</v>
      </c>
      <c r="F458" s="14" t="s">
        <v>65</v>
      </c>
      <c r="G458" s="14">
        <v>1</v>
      </c>
      <c r="H458" s="14">
        <v>-1</v>
      </c>
      <c r="I458" s="14">
        <v>4.4001128842504303E-2</v>
      </c>
      <c r="J458" s="14">
        <v>6.5934261257519305E-2</v>
      </c>
      <c r="K458" s="14">
        <v>3.56081993400265E-2</v>
      </c>
      <c r="L458" s="14">
        <v>0</v>
      </c>
      <c r="Q458" s="14" t="s">
        <v>640</v>
      </c>
    </row>
    <row r="459" spans="1:17" x14ac:dyDescent="0.25">
      <c r="A459" s="14" t="s">
        <v>92</v>
      </c>
      <c r="B459" s="14" t="s">
        <v>66</v>
      </c>
      <c r="C459" s="14" t="s">
        <v>69</v>
      </c>
      <c r="D459" s="14">
        <v>30</v>
      </c>
      <c r="E459" s="14">
        <v>2</v>
      </c>
      <c r="F459" s="14" t="s">
        <v>92</v>
      </c>
      <c r="G459" s="14">
        <v>0</v>
      </c>
      <c r="H459" s="14">
        <v>1</v>
      </c>
      <c r="I459" s="14">
        <v>5.4956541620393602E-2</v>
      </c>
      <c r="J459" s="14">
        <v>8.9132298448800302</v>
      </c>
      <c r="K459" s="14">
        <v>8.9351552937630494</v>
      </c>
      <c r="L459" s="14">
        <v>9.0060647357860208</v>
      </c>
      <c r="Q459" s="14" t="s">
        <v>641</v>
      </c>
    </row>
    <row r="460" spans="1:17" x14ac:dyDescent="0.25">
      <c r="A460" s="14" t="s">
        <v>92</v>
      </c>
      <c r="B460" s="14" t="s">
        <v>66</v>
      </c>
      <c r="C460" s="14" t="s">
        <v>69</v>
      </c>
      <c r="D460" s="14">
        <v>30</v>
      </c>
      <c r="E460" s="14">
        <v>2</v>
      </c>
      <c r="F460" s="14" t="s">
        <v>92</v>
      </c>
      <c r="G460" s="14">
        <v>1</v>
      </c>
      <c r="H460" s="14">
        <v>1</v>
      </c>
      <c r="I460" s="14">
        <v>5.4956541620700898E-2</v>
      </c>
      <c r="J460" s="14">
        <v>4.3479824289541197E-2</v>
      </c>
      <c r="K460" s="14">
        <v>6.8543787512687901E-2</v>
      </c>
      <c r="L460" s="14">
        <v>0</v>
      </c>
      <c r="Q460" s="14" t="s">
        <v>642</v>
      </c>
    </row>
    <row r="461" spans="1:17" x14ac:dyDescent="0.25">
      <c r="A461" s="14" t="s">
        <v>92</v>
      </c>
      <c r="B461" s="14" t="s">
        <v>66</v>
      </c>
      <c r="C461" s="14" t="s">
        <v>69</v>
      </c>
      <c r="D461" s="14">
        <v>30</v>
      </c>
      <c r="E461" s="14">
        <v>2</v>
      </c>
      <c r="F461" s="14" t="s">
        <v>93</v>
      </c>
      <c r="G461" s="14">
        <v>0</v>
      </c>
      <c r="H461" s="14">
        <v>1</v>
      </c>
      <c r="I461" s="14">
        <v>2.9573205904899799E-2</v>
      </c>
      <c r="J461" s="14">
        <v>3.0456914868030101E-2</v>
      </c>
      <c r="K461" s="14">
        <v>2.7634020496750199E-2</v>
      </c>
      <c r="L461" s="14">
        <v>0</v>
      </c>
      <c r="Q461" s="14" t="s">
        <v>643</v>
      </c>
    </row>
    <row r="462" spans="1:17" x14ac:dyDescent="0.25">
      <c r="A462" s="14" t="s">
        <v>92</v>
      </c>
      <c r="B462" s="14" t="s">
        <v>66</v>
      </c>
      <c r="C462" s="14" t="s">
        <v>69</v>
      </c>
      <c r="D462" s="14">
        <v>30</v>
      </c>
      <c r="E462" s="14">
        <v>2</v>
      </c>
      <c r="F462" s="14" t="s">
        <v>93</v>
      </c>
      <c r="G462" s="14">
        <v>1</v>
      </c>
      <c r="H462" s="14">
        <v>-1</v>
      </c>
      <c r="I462" s="14">
        <v>2.9573205904899799E-2</v>
      </c>
      <c r="J462" s="14">
        <v>3.0456914868030101E-2</v>
      </c>
      <c r="K462" s="14">
        <v>2.7634020496750199E-2</v>
      </c>
      <c r="L462" s="14">
        <v>0</v>
      </c>
      <c r="Q462" s="14" t="s">
        <v>644</v>
      </c>
    </row>
    <row r="463" spans="1:17" x14ac:dyDescent="0.25">
      <c r="A463" s="14" t="s">
        <v>92</v>
      </c>
      <c r="B463" s="14" t="s">
        <v>66</v>
      </c>
      <c r="C463" s="14" t="s">
        <v>69</v>
      </c>
      <c r="D463" s="14">
        <v>30</v>
      </c>
      <c r="E463" s="14">
        <v>2</v>
      </c>
      <c r="F463" s="14" t="s">
        <v>94</v>
      </c>
      <c r="G463" s="14">
        <v>0</v>
      </c>
      <c r="H463" s="14">
        <v>1</v>
      </c>
      <c r="I463" s="14">
        <v>4.4001128842520602E-2</v>
      </c>
      <c r="J463" s="14">
        <v>6.5934261257531795E-2</v>
      </c>
      <c r="K463" s="14">
        <v>3.5608199340033501E-2</v>
      </c>
      <c r="L463" s="14">
        <v>0</v>
      </c>
      <c r="Q463" s="14" t="s">
        <v>645</v>
      </c>
    </row>
    <row r="464" spans="1:17" x14ac:dyDescent="0.25">
      <c r="A464" s="14" t="s">
        <v>92</v>
      </c>
      <c r="B464" s="14" t="s">
        <v>66</v>
      </c>
      <c r="C464" s="14" t="s">
        <v>69</v>
      </c>
      <c r="D464" s="14">
        <v>30</v>
      </c>
      <c r="E464" s="14">
        <v>2</v>
      </c>
      <c r="F464" s="14" t="s">
        <v>94</v>
      </c>
      <c r="G464" s="14">
        <v>1</v>
      </c>
      <c r="H464" s="14">
        <v>-1</v>
      </c>
      <c r="I464" s="14">
        <v>5.0139255163791599E-2</v>
      </c>
      <c r="J464" s="14">
        <v>0.11740388211666</v>
      </c>
      <c r="K464" s="14">
        <v>0.106481920107657</v>
      </c>
      <c r="L464" s="14">
        <v>0</v>
      </c>
      <c r="Q464" s="14" t="s">
        <v>646</v>
      </c>
    </row>
    <row r="465" spans="1:17" x14ac:dyDescent="0.25">
      <c r="A465" s="14" t="s">
        <v>92</v>
      </c>
      <c r="B465" s="14" t="s">
        <v>66</v>
      </c>
      <c r="C465" s="14" t="s">
        <v>69</v>
      </c>
      <c r="D465" s="14">
        <v>30</v>
      </c>
      <c r="E465" s="14">
        <v>50</v>
      </c>
      <c r="F465" s="14" t="s">
        <v>91</v>
      </c>
      <c r="G465" s="14">
        <v>0</v>
      </c>
      <c r="H465" s="14">
        <v>1</v>
      </c>
      <c r="I465" s="14">
        <v>8.7344393829776698E-2</v>
      </c>
      <c r="J465" s="14">
        <v>8.8493816740303502E-2</v>
      </c>
      <c r="K465" s="14">
        <v>8.1262392503549802E-2</v>
      </c>
      <c r="L465" s="14">
        <v>0</v>
      </c>
      <c r="Q465" s="14" t="s">
        <v>647</v>
      </c>
    </row>
    <row r="466" spans="1:17" x14ac:dyDescent="0.25">
      <c r="A466" s="14" t="s">
        <v>92</v>
      </c>
      <c r="B466" s="14" t="s">
        <v>66</v>
      </c>
      <c r="C466" s="14" t="s">
        <v>69</v>
      </c>
      <c r="D466" s="14">
        <v>30</v>
      </c>
      <c r="E466" s="14">
        <v>50</v>
      </c>
      <c r="F466" s="14" t="s">
        <v>91</v>
      </c>
      <c r="G466" s="14">
        <v>1</v>
      </c>
      <c r="H466" s="14">
        <v>-1</v>
      </c>
      <c r="I466" s="14">
        <v>8.7344393829776698E-2</v>
      </c>
      <c r="J466" s="14">
        <v>8.8493816740303502E-2</v>
      </c>
      <c r="K466" s="14">
        <v>8.1262392503549802E-2</v>
      </c>
      <c r="L466" s="14">
        <v>0</v>
      </c>
      <c r="Q466" s="14" t="s">
        <v>648</v>
      </c>
    </row>
    <row r="467" spans="1:17" x14ac:dyDescent="0.25">
      <c r="A467" s="14" t="s">
        <v>92</v>
      </c>
      <c r="B467" s="14" t="s">
        <v>66</v>
      </c>
      <c r="C467" s="14" t="s">
        <v>69</v>
      </c>
      <c r="D467" s="14">
        <v>30</v>
      </c>
      <c r="E467" s="14">
        <v>50</v>
      </c>
      <c r="F467" s="14" t="s">
        <v>65</v>
      </c>
      <c r="G467" s="14">
        <v>0</v>
      </c>
      <c r="H467" s="14">
        <v>-1</v>
      </c>
      <c r="I467" s="14">
        <v>5.6981433011001198E-2</v>
      </c>
      <c r="J467" s="14">
        <v>5.95649196432309E-2</v>
      </c>
      <c r="K467" s="14">
        <v>9.5543491119815305E-2</v>
      </c>
      <c r="L467" s="14">
        <v>0</v>
      </c>
      <c r="Q467" s="14" t="s">
        <v>649</v>
      </c>
    </row>
    <row r="468" spans="1:17" x14ac:dyDescent="0.25">
      <c r="A468" s="14" t="s">
        <v>92</v>
      </c>
      <c r="B468" s="14" t="s">
        <v>66</v>
      </c>
      <c r="C468" s="14" t="s">
        <v>69</v>
      </c>
      <c r="D468" s="14">
        <v>30</v>
      </c>
      <c r="E468" s="14">
        <v>50</v>
      </c>
      <c r="F468" s="14" t="s">
        <v>65</v>
      </c>
      <c r="G468" s="14">
        <v>1</v>
      </c>
      <c r="H468" s="14">
        <v>-1</v>
      </c>
      <c r="I468" s="14">
        <v>3.7585231896995502E-2</v>
      </c>
      <c r="J468" s="14">
        <v>8.6268685147740901E-2</v>
      </c>
      <c r="K468" s="14">
        <v>5.0018504326116597E-2</v>
      </c>
      <c r="L468" s="14">
        <v>0</v>
      </c>
      <c r="Q468" s="14" t="s">
        <v>650</v>
      </c>
    </row>
    <row r="469" spans="1:17" x14ac:dyDescent="0.25">
      <c r="A469" s="14" t="s">
        <v>92</v>
      </c>
      <c r="B469" s="14" t="s">
        <v>66</v>
      </c>
      <c r="C469" s="14" t="s">
        <v>69</v>
      </c>
      <c r="D469" s="14">
        <v>30</v>
      </c>
      <c r="E469" s="14">
        <v>50</v>
      </c>
      <c r="F469" s="14" t="s">
        <v>92</v>
      </c>
      <c r="G469" s="14">
        <v>0</v>
      </c>
      <c r="H469" s="14">
        <v>1</v>
      </c>
      <c r="I469" s="14">
        <v>5.6981433011002697E-2</v>
      </c>
      <c r="J469" s="14">
        <v>8.0319172965110202</v>
      </c>
      <c r="K469" s="14">
        <v>8.0688004068984593</v>
      </c>
      <c r="L469" s="14">
        <v>8.1446223005069704</v>
      </c>
      <c r="Q469" s="14" t="s">
        <v>651</v>
      </c>
    </row>
    <row r="470" spans="1:17" x14ac:dyDescent="0.25">
      <c r="A470" s="14" t="s">
        <v>92</v>
      </c>
      <c r="B470" s="14" t="s">
        <v>66</v>
      </c>
      <c r="C470" s="14" t="s">
        <v>69</v>
      </c>
      <c r="D470" s="14">
        <v>30</v>
      </c>
      <c r="E470" s="14">
        <v>50</v>
      </c>
      <c r="F470" s="14" t="s">
        <v>92</v>
      </c>
      <c r="G470" s="14">
        <v>1</v>
      </c>
      <c r="H470" s="14">
        <v>1</v>
      </c>
      <c r="I470" s="14">
        <v>5.6981433011016103E-2</v>
      </c>
      <c r="J470" s="14">
        <v>5.9564919643243397E-2</v>
      </c>
      <c r="K470" s="14">
        <v>9.55434911198281E-2</v>
      </c>
      <c r="L470" s="14">
        <v>0</v>
      </c>
      <c r="Q470" s="14" t="s">
        <v>652</v>
      </c>
    </row>
    <row r="471" spans="1:17" x14ac:dyDescent="0.25">
      <c r="A471" s="14" t="s">
        <v>92</v>
      </c>
      <c r="B471" s="14" t="s">
        <v>66</v>
      </c>
      <c r="C471" s="14" t="s">
        <v>69</v>
      </c>
      <c r="D471" s="14">
        <v>30</v>
      </c>
      <c r="E471" s="14">
        <v>50</v>
      </c>
      <c r="F471" s="14" t="s">
        <v>93</v>
      </c>
      <c r="G471" s="14">
        <v>0</v>
      </c>
      <c r="H471" s="14">
        <v>1</v>
      </c>
      <c r="I471" s="14">
        <v>2.9392240643805301E-2</v>
      </c>
      <c r="J471" s="14">
        <v>2.9779032666811998E-2</v>
      </c>
      <c r="K471" s="14">
        <v>2.7345587862347202E-2</v>
      </c>
      <c r="L471" s="14">
        <v>0</v>
      </c>
      <c r="Q471" s="14" t="s">
        <v>653</v>
      </c>
    </row>
    <row r="472" spans="1:17" x14ac:dyDescent="0.25">
      <c r="A472" s="14" t="s">
        <v>92</v>
      </c>
      <c r="B472" s="14" t="s">
        <v>66</v>
      </c>
      <c r="C472" s="14" t="s">
        <v>69</v>
      </c>
      <c r="D472" s="14">
        <v>30</v>
      </c>
      <c r="E472" s="14">
        <v>50</v>
      </c>
      <c r="F472" s="14" t="s">
        <v>93</v>
      </c>
      <c r="G472" s="14">
        <v>1</v>
      </c>
      <c r="H472" s="14">
        <v>-1</v>
      </c>
      <c r="I472" s="14">
        <v>2.9392240643805301E-2</v>
      </c>
      <c r="J472" s="14">
        <v>2.9779032666811998E-2</v>
      </c>
      <c r="K472" s="14">
        <v>2.7345587862347202E-2</v>
      </c>
      <c r="L472" s="14">
        <v>0</v>
      </c>
      <c r="Q472" s="14" t="s">
        <v>654</v>
      </c>
    </row>
    <row r="473" spans="1:17" x14ac:dyDescent="0.25">
      <c r="A473" s="14" t="s">
        <v>92</v>
      </c>
      <c r="B473" s="14" t="s">
        <v>66</v>
      </c>
      <c r="C473" s="14" t="s">
        <v>69</v>
      </c>
      <c r="D473" s="14">
        <v>30</v>
      </c>
      <c r="E473" s="14">
        <v>50</v>
      </c>
      <c r="F473" s="14" t="s">
        <v>94</v>
      </c>
      <c r="G473" s="14">
        <v>0</v>
      </c>
      <c r="H473" s="14">
        <v>1</v>
      </c>
      <c r="I473" s="14">
        <v>3.7585231897000602E-2</v>
      </c>
      <c r="J473" s="14">
        <v>8.6268685147746299E-2</v>
      </c>
      <c r="K473" s="14">
        <v>5.0018504326116202E-2</v>
      </c>
      <c r="L473" s="14">
        <v>0</v>
      </c>
      <c r="Q473" s="14" t="s">
        <v>655</v>
      </c>
    </row>
    <row r="474" spans="1:17" x14ac:dyDescent="0.25">
      <c r="A474" s="14" t="s">
        <v>92</v>
      </c>
      <c r="B474" s="14" t="s">
        <v>66</v>
      </c>
      <c r="C474" s="14" t="s">
        <v>69</v>
      </c>
      <c r="D474" s="14">
        <v>30</v>
      </c>
      <c r="E474" s="14">
        <v>50</v>
      </c>
      <c r="F474" s="14" t="s">
        <v>94</v>
      </c>
      <c r="G474" s="14">
        <v>1</v>
      </c>
      <c r="H474" s="14">
        <v>-1</v>
      </c>
      <c r="I474" s="14">
        <v>2.1719990182066499E-2</v>
      </c>
      <c r="J474" s="14">
        <v>0.13620735496</v>
      </c>
      <c r="K474" s="14">
        <v>0.150128716042882</v>
      </c>
      <c r="L474" s="14">
        <v>0</v>
      </c>
      <c r="Q474" s="14" t="s">
        <v>656</v>
      </c>
    </row>
    <row r="475" spans="1:17" x14ac:dyDescent="0.25">
      <c r="A475" s="14" t="s">
        <v>92</v>
      </c>
      <c r="B475" s="14" t="s">
        <v>66</v>
      </c>
      <c r="C475" s="14" t="s">
        <v>69</v>
      </c>
      <c r="D475" s="14">
        <v>30</v>
      </c>
      <c r="E475" s="14">
        <v>98</v>
      </c>
      <c r="F475" s="14" t="s">
        <v>91</v>
      </c>
      <c r="G475" s="14">
        <v>0</v>
      </c>
      <c r="H475" s="14">
        <v>1</v>
      </c>
      <c r="I475" s="14">
        <v>8.7090133045290993E-2</v>
      </c>
      <c r="J475" s="14">
        <v>8.7195924272575401E-2</v>
      </c>
      <c r="K475" s="14">
        <v>8.1112495921658506E-2</v>
      </c>
      <c r="L475" s="14">
        <v>0</v>
      </c>
      <c r="Q475" s="14" t="s">
        <v>657</v>
      </c>
    </row>
    <row r="476" spans="1:17" x14ac:dyDescent="0.25">
      <c r="A476" s="14" t="s">
        <v>92</v>
      </c>
      <c r="B476" s="14" t="s">
        <v>66</v>
      </c>
      <c r="C476" s="14" t="s">
        <v>69</v>
      </c>
      <c r="D476" s="14">
        <v>30</v>
      </c>
      <c r="E476" s="14">
        <v>98</v>
      </c>
      <c r="F476" s="14" t="s">
        <v>91</v>
      </c>
      <c r="G476" s="14">
        <v>1</v>
      </c>
      <c r="H476" s="14">
        <v>-1</v>
      </c>
      <c r="I476" s="14">
        <v>8.7090133045290993E-2</v>
      </c>
      <c r="J476" s="14">
        <v>8.7195924272575401E-2</v>
      </c>
      <c r="K476" s="14">
        <v>8.1112495921658506E-2</v>
      </c>
      <c r="L476" s="14">
        <v>0</v>
      </c>
      <c r="Q476" s="14" t="s">
        <v>658</v>
      </c>
    </row>
    <row r="477" spans="1:17" x14ac:dyDescent="0.25">
      <c r="A477" s="14" t="s">
        <v>92</v>
      </c>
      <c r="B477" s="14" t="s">
        <v>66</v>
      </c>
      <c r="C477" s="14" t="s">
        <v>69</v>
      </c>
      <c r="D477" s="14">
        <v>30</v>
      </c>
      <c r="E477" s="14">
        <v>98</v>
      </c>
      <c r="F477" s="14" t="s">
        <v>65</v>
      </c>
      <c r="G477" s="14">
        <v>0</v>
      </c>
      <c r="H477" s="14">
        <v>-1</v>
      </c>
      <c r="I477" s="14">
        <v>5.92702916405837E-2</v>
      </c>
      <c r="J477" s="14">
        <v>8.0298037105720296E-2</v>
      </c>
      <c r="K477" s="14">
        <v>0.118818027584375</v>
      </c>
      <c r="L477" s="14">
        <v>0</v>
      </c>
      <c r="Q477" s="14" t="s">
        <v>659</v>
      </c>
    </row>
    <row r="478" spans="1:17" x14ac:dyDescent="0.25">
      <c r="A478" s="14" t="s">
        <v>92</v>
      </c>
      <c r="B478" s="14" t="s">
        <v>66</v>
      </c>
      <c r="C478" s="14" t="s">
        <v>69</v>
      </c>
      <c r="D478" s="14">
        <v>30</v>
      </c>
      <c r="E478" s="14">
        <v>98</v>
      </c>
      <c r="F478" s="14" t="s">
        <v>65</v>
      </c>
      <c r="G478" s="14">
        <v>1</v>
      </c>
      <c r="H478" s="14">
        <v>-1</v>
      </c>
      <c r="I478" s="14">
        <v>3.1682694962925098E-2</v>
      </c>
      <c r="J478" s="14">
        <v>0.10581436597131701</v>
      </c>
      <c r="K478" s="14">
        <v>7.4167019208546806E-2</v>
      </c>
      <c r="L478" s="14">
        <v>0</v>
      </c>
      <c r="Q478" s="14" t="s">
        <v>660</v>
      </c>
    </row>
    <row r="479" spans="1:17" x14ac:dyDescent="0.25">
      <c r="A479" s="14" t="s">
        <v>92</v>
      </c>
      <c r="B479" s="14" t="s">
        <v>66</v>
      </c>
      <c r="C479" s="14" t="s">
        <v>69</v>
      </c>
      <c r="D479" s="14">
        <v>30</v>
      </c>
      <c r="E479" s="14">
        <v>98</v>
      </c>
      <c r="F479" s="14" t="s">
        <v>92</v>
      </c>
      <c r="G479" s="14">
        <v>0</v>
      </c>
      <c r="H479" s="14">
        <v>1</v>
      </c>
      <c r="I479" s="14">
        <v>5.9270291640558297E-2</v>
      </c>
      <c r="J479" s="14">
        <v>7.1821696992958799</v>
      </c>
      <c r="K479" s="14">
        <v>7.2291718200791504</v>
      </c>
      <c r="L479" s="14">
        <v>7.3038216512273699</v>
      </c>
      <c r="Q479" s="14" t="s">
        <v>661</v>
      </c>
    </row>
    <row r="480" spans="1:17" x14ac:dyDescent="0.25">
      <c r="A480" s="14" t="s">
        <v>92</v>
      </c>
      <c r="B480" s="14" t="s">
        <v>66</v>
      </c>
      <c r="C480" s="14" t="s">
        <v>69</v>
      </c>
      <c r="D480" s="14">
        <v>30</v>
      </c>
      <c r="E480" s="14">
        <v>98</v>
      </c>
      <c r="F480" s="14" t="s">
        <v>92</v>
      </c>
      <c r="G480" s="14">
        <v>1</v>
      </c>
      <c r="H480" s="14">
        <v>1</v>
      </c>
      <c r="I480" s="14">
        <v>5.9270291640852797E-2</v>
      </c>
      <c r="J480" s="14">
        <v>8.02980371059554E-2</v>
      </c>
      <c r="K480" s="14">
        <v>0.118818027584654</v>
      </c>
      <c r="L480" s="14">
        <v>0</v>
      </c>
      <c r="Q480" s="14" t="s">
        <v>662</v>
      </c>
    </row>
    <row r="481" spans="1:17" x14ac:dyDescent="0.25">
      <c r="A481" s="14" t="s">
        <v>92</v>
      </c>
      <c r="B481" s="14" t="s">
        <v>66</v>
      </c>
      <c r="C481" s="14" t="s">
        <v>69</v>
      </c>
      <c r="D481" s="14">
        <v>30</v>
      </c>
      <c r="E481" s="14">
        <v>98</v>
      </c>
      <c r="F481" s="14" t="s">
        <v>93</v>
      </c>
      <c r="G481" s="14">
        <v>0</v>
      </c>
      <c r="H481" s="14">
        <v>1</v>
      </c>
      <c r="I481" s="14">
        <v>2.9306679409297601E-2</v>
      </c>
      <c r="J481" s="14">
        <v>2.9342279189363302E-2</v>
      </c>
      <c r="K481" s="14">
        <v>2.7295146200175799E-2</v>
      </c>
      <c r="L481" s="14">
        <v>0</v>
      </c>
      <c r="Q481" s="14" t="s">
        <v>663</v>
      </c>
    </row>
    <row r="482" spans="1:17" x14ac:dyDescent="0.25">
      <c r="A482" s="14" t="s">
        <v>92</v>
      </c>
      <c r="B482" s="14" t="s">
        <v>66</v>
      </c>
      <c r="C482" s="14" t="s">
        <v>69</v>
      </c>
      <c r="D482" s="14">
        <v>30</v>
      </c>
      <c r="E482" s="14">
        <v>98</v>
      </c>
      <c r="F482" s="14" t="s">
        <v>93</v>
      </c>
      <c r="G482" s="14">
        <v>1</v>
      </c>
      <c r="H482" s="14">
        <v>-1</v>
      </c>
      <c r="I482" s="14">
        <v>2.9306679409297601E-2</v>
      </c>
      <c r="J482" s="14">
        <v>2.9342279189363302E-2</v>
      </c>
      <c r="K482" s="14">
        <v>2.7295146200175799E-2</v>
      </c>
      <c r="L482" s="14">
        <v>0</v>
      </c>
      <c r="Q482" s="14" t="s">
        <v>664</v>
      </c>
    </row>
    <row r="483" spans="1:17" x14ac:dyDescent="0.25">
      <c r="A483" s="14" t="s">
        <v>92</v>
      </c>
      <c r="B483" s="14" t="s">
        <v>66</v>
      </c>
      <c r="C483" s="14" t="s">
        <v>69</v>
      </c>
      <c r="D483" s="14">
        <v>30</v>
      </c>
      <c r="E483" s="14">
        <v>98</v>
      </c>
      <c r="F483" s="14" t="s">
        <v>94</v>
      </c>
      <c r="G483" s="14">
        <v>0</v>
      </c>
      <c r="H483" s="14">
        <v>1</v>
      </c>
      <c r="I483" s="14">
        <v>3.1682694962925403E-2</v>
      </c>
      <c r="J483" s="14">
        <v>0.105814365971325</v>
      </c>
      <c r="K483" s="14">
        <v>7.4167019208550802E-2</v>
      </c>
      <c r="L483" s="14">
        <v>0</v>
      </c>
      <c r="Q483" s="14" t="s">
        <v>665</v>
      </c>
    </row>
    <row r="484" spans="1:17" x14ac:dyDescent="0.25">
      <c r="A484" s="14" t="s">
        <v>92</v>
      </c>
      <c r="B484" s="14" t="s">
        <v>66</v>
      </c>
      <c r="C484" s="14" t="s">
        <v>69</v>
      </c>
      <c r="D484" s="14">
        <v>30</v>
      </c>
      <c r="E484" s="14">
        <v>98</v>
      </c>
      <c r="F484" s="14" t="s">
        <v>94</v>
      </c>
      <c r="G484" s="14">
        <v>1</v>
      </c>
      <c r="H484" s="14">
        <v>1</v>
      </c>
      <c r="I484" s="14">
        <v>4.7020929510527699E-2</v>
      </c>
      <c r="J484" s="14">
        <v>0.15184392081213599</v>
      </c>
      <c r="K484" s="14">
        <v>0.19878188112515899</v>
      </c>
      <c r="L484" s="14">
        <v>0</v>
      </c>
      <c r="Q484" s="14" t="s">
        <v>666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CC6"/>
  <sheetViews>
    <sheetView workbookViewId="0">
      <selection activeCell="A2" sqref="A2:A6"/>
    </sheetView>
  </sheetViews>
  <sheetFormatPr baseColWidth="10" defaultRowHeight="15" x14ac:dyDescent="0.25"/>
  <cols>
    <col min="1" max="1" width="10" customWidth="1"/>
    <col min="2" max="2" width="29.5703125" customWidth="1"/>
    <col min="3" max="3" width="10.28515625" customWidth="1"/>
    <col min="4" max="4" width="19.28515625" customWidth="1"/>
    <col min="5" max="5" width="7.140625" customWidth="1"/>
    <col min="6" max="6" width="12.85546875" customWidth="1"/>
    <col min="7" max="7" width="10.28515625" customWidth="1"/>
    <col min="8" max="8" width="7.7109375" customWidth="1"/>
    <col min="9" max="9" width="9" customWidth="1"/>
    <col min="10" max="10" width="11.5703125" customWidth="1"/>
    <col min="11" max="11" width="7.7109375" customWidth="1"/>
    <col min="12" max="12" width="12.85546875" customWidth="1"/>
    <col min="13" max="13" width="10.28515625" customWidth="1"/>
    <col min="14" max="14" width="7.7109375" customWidth="1"/>
    <col min="15" max="15" width="9" customWidth="1"/>
    <col min="16" max="16" width="11.5703125" customWidth="1"/>
    <col min="17" max="17" width="7.7109375" customWidth="1"/>
    <col min="18" max="18" width="12.85546875" customWidth="1"/>
    <col min="19" max="19" width="10.28515625" customWidth="1"/>
    <col min="20" max="20" width="7.7109375" customWidth="1"/>
    <col min="21" max="21" width="9" customWidth="1"/>
    <col min="22" max="22" width="11.5703125" customWidth="1"/>
    <col min="23" max="23" width="7.7109375" customWidth="1"/>
    <col min="24" max="24" width="12.85546875" customWidth="1"/>
    <col min="25" max="25" width="10.28515625" customWidth="1"/>
    <col min="26" max="26" width="7.7109375" customWidth="1"/>
    <col min="27" max="27" width="9" customWidth="1"/>
    <col min="28" max="28" width="11.5703125" customWidth="1"/>
    <col min="29" max="29" width="7.7109375" customWidth="1"/>
    <col min="30" max="30" width="12.85546875" customWidth="1"/>
    <col min="31" max="31" width="10.28515625" customWidth="1"/>
    <col min="32" max="32" width="7.7109375" customWidth="1"/>
    <col min="33" max="33" width="9" customWidth="1"/>
    <col min="34" max="34" width="11.5703125" customWidth="1"/>
    <col min="35" max="35" width="7.7109375" customWidth="1"/>
    <col min="36" max="36" width="12.85546875" customWidth="1"/>
    <col min="37" max="37" width="10.28515625" customWidth="1"/>
    <col min="38" max="38" width="7.7109375" customWidth="1"/>
    <col min="39" max="39" width="9" customWidth="1"/>
    <col min="40" max="40" width="11.5703125" customWidth="1"/>
    <col min="41" max="41" width="7.7109375" customWidth="1"/>
    <col min="42" max="42" width="12.85546875" customWidth="1"/>
    <col min="43" max="43" width="10.28515625" customWidth="1"/>
    <col min="44" max="44" width="7.7109375" customWidth="1"/>
    <col min="45" max="45" width="9" customWidth="1"/>
    <col min="46" max="46" width="11.5703125" customWidth="1"/>
    <col min="47" max="47" width="7.7109375" customWidth="1"/>
    <col min="48" max="48" width="12.85546875" customWidth="1"/>
    <col min="49" max="49" width="10.28515625" customWidth="1"/>
    <col min="50" max="50" width="7.7109375" customWidth="1"/>
    <col min="51" max="51" width="9" customWidth="1"/>
    <col min="52" max="52" width="11.5703125" customWidth="1"/>
    <col min="53" max="53" width="7.7109375" customWidth="1"/>
    <col min="54" max="54" width="20.5703125" customWidth="1"/>
    <col min="55" max="55" width="10.28515625" customWidth="1"/>
    <col min="56" max="56" width="34.7109375" customWidth="1"/>
    <col min="57" max="57" width="7.140625" customWidth="1"/>
    <col min="58" max="58" width="11.5703125" customWidth="1"/>
    <col min="59" max="59" width="12.85546875" customWidth="1"/>
    <col min="60" max="60" width="32.140625" customWidth="1"/>
    <col min="61" max="61" width="12.7109375" bestFit="1" customWidth="1"/>
    <col min="62" max="64" width="15.42578125" customWidth="1"/>
    <col min="65" max="65" width="14.140625" customWidth="1"/>
    <col min="66" max="67" width="7.140625" customWidth="1"/>
    <col min="68" max="68" width="9" customWidth="1"/>
    <col min="69" max="69" width="23.140625" customWidth="1"/>
    <col min="70" max="70" width="7.7109375" customWidth="1"/>
    <col min="71" max="71" width="16.7109375" customWidth="1"/>
    <col min="72" max="72" width="11.5703125" customWidth="1"/>
    <col min="73" max="73" width="28.28515625" customWidth="1"/>
    <col min="74" max="74" width="11.5703125" customWidth="1"/>
    <col min="75" max="75" width="18" customWidth="1"/>
    <col min="76" max="78" width="7.140625" customWidth="1"/>
  </cols>
  <sheetData>
    <row r="1" spans="1:81" s="1" customFormat="1" ht="15" customHeight="1" x14ac:dyDescent="0.25">
      <c r="A1" s="2" t="s">
        <v>108</v>
      </c>
      <c r="B1" s="2" t="s">
        <v>109</v>
      </c>
      <c r="C1" s="2" t="s">
        <v>110</v>
      </c>
      <c r="D1" s="2" t="s">
        <v>111</v>
      </c>
      <c r="E1" s="2" t="s">
        <v>0</v>
      </c>
      <c r="F1" s="2" t="s">
        <v>112</v>
      </c>
      <c r="G1" s="2" t="s">
        <v>113</v>
      </c>
      <c r="H1" s="2" t="s">
        <v>114</v>
      </c>
      <c r="I1" s="2" t="s">
        <v>115</v>
      </c>
      <c r="J1" s="2" t="s">
        <v>116</v>
      </c>
      <c r="K1" s="2" t="s">
        <v>117</v>
      </c>
      <c r="L1" s="2" t="s">
        <v>112</v>
      </c>
      <c r="M1" s="2" t="s">
        <v>113</v>
      </c>
      <c r="N1" s="2" t="s">
        <v>114</v>
      </c>
      <c r="O1" s="2" t="s">
        <v>115</v>
      </c>
      <c r="P1" s="2" t="s">
        <v>116</v>
      </c>
      <c r="Q1" s="2" t="s">
        <v>117</v>
      </c>
      <c r="R1" s="2" t="s">
        <v>112</v>
      </c>
      <c r="S1" s="2" t="s">
        <v>113</v>
      </c>
      <c r="T1" s="2" t="s">
        <v>114</v>
      </c>
      <c r="U1" s="2" t="s">
        <v>115</v>
      </c>
      <c r="V1" s="2" t="s">
        <v>116</v>
      </c>
      <c r="W1" s="2" t="s">
        <v>117</v>
      </c>
      <c r="X1" s="2" t="s">
        <v>112</v>
      </c>
      <c r="Y1" s="2" t="s">
        <v>113</v>
      </c>
      <c r="Z1" s="2" t="s">
        <v>114</v>
      </c>
      <c r="AA1" s="2" t="s">
        <v>115</v>
      </c>
      <c r="AB1" s="2" t="s">
        <v>116</v>
      </c>
      <c r="AC1" s="2" t="s">
        <v>117</v>
      </c>
      <c r="AD1" s="2" t="s">
        <v>112</v>
      </c>
      <c r="AE1" s="2" t="s">
        <v>113</v>
      </c>
      <c r="AF1" s="2" t="s">
        <v>114</v>
      </c>
      <c r="AG1" s="2" t="s">
        <v>115</v>
      </c>
      <c r="AH1" s="2" t="s">
        <v>116</v>
      </c>
      <c r="AI1" s="2" t="s">
        <v>117</v>
      </c>
      <c r="AJ1" s="2" t="s">
        <v>112</v>
      </c>
      <c r="AK1" s="2" t="s">
        <v>113</v>
      </c>
      <c r="AL1" s="2" t="s">
        <v>114</v>
      </c>
      <c r="AM1" s="2" t="s">
        <v>115</v>
      </c>
      <c r="AN1" s="2" t="s">
        <v>116</v>
      </c>
      <c r="AO1" s="2" t="s">
        <v>117</v>
      </c>
      <c r="AP1" s="2" t="s">
        <v>112</v>
      </c>
      <c r="AQ1" s="2" t="s">
        <v>113</v>
      </c>
      <c r="AR1" s="2" t="s">
        <v>114</v>
      </c>
      <c r="AS1" s="2" t="s">
        <v>115</v>
      </c>
      <c r="AT1" s="2" t="s">
        <v>116</v>
      </c>
      <c r="AU1" s="2" t="s">
        <v>117</v>
      </c>
      <c r="AV1" s="2" t="s">
        <v>112</v>
      </c>
      <c r="AW1" s="2" t="s">
        <v>113</v>
      </c>
      <c r="AX1" s="2" t="s">
        <v>114</v>
      </c>
      <c r="AY1" s="2" t="s">
        <v>115</v>
      </c>
      <c r="AZ1" s="2" t="s">
        <v>116</v>
      </c>
      <c r="BA1" s="2" t="s">
        <v>117</v>
      </c>
      <c r="BB1" s="2" t="s">
        <v>118</v>
      </c>
      <c r="BC1" s="2" t="s">
        <v>119</v>
      </c>
      <c r="BD1" s="2" t="s">
        <v>120</v>
      </c>
      <c r="BE1" s="2" t="s">
        <v>121</v>
      </c>
      <c r="BF1" s="2" t="s">
        <v>122</v>
      </c>
      <c r="BG1" s="2" t="s">
        <v>123</v>
      </c>
      <c r="BH1" s="2" t="s">
        <v>124</v>
      </c>
      <c r="BI1" s="2" t="s">
        <v>125</v>
      </c>
      <c r="BJ1" s="2" t="s">
        <v>126</v>
      </c>
      <c r="BK1" s="2" t="s">
        <v>127</v>
      </c>
      <c r="BL1" s="2" t="s">
        <v>128</v>
      </c>
      <c r="BM1" s="2" t="s">
        <v>129</v>
      </c>
      <c r="BN1" s="2" t="s">
        <v>130</v>
      </c>
      <c r="BO1" s="2" t="s">
        <v>131</v>
      </c>
      <c r="BP1" s="2" t="s">
        <v>132</v>
      </c>
      <c r="BQ1" s="2" t="s">
        <v>133</v>
      </c>
      <c r="BR1" s="2" t="s">
        <v>134</v>
      </c>
      <c r="BS1" s="2" t="s">
        <v>135</v>
      </c>
      <c r="BT1" s="2" t="s">
        <v>136</v>
      </c>
      <c r="BU1" s="2" t="s">
        <v>137</v>
      </c>
      <c r="BV1" s="2" t="s">
        <v>138</v>
      </c>
      <c r="BW1" s="2" t="s">
        <v>139</v>
      </c>
      <c r="BX1" s="2" t="s">
        <v>140</v>
      </c>
      <c r="BY1" s="2" t="s">
        <v>141</v>
      </c>
      <c r="BZ1" s="2" t="s">
        <v>142</v>
      </c>
      <c r="CA1" s="1" t="s">
        <v>143</v>
      </c>
      <c r="CB1" s="1" t="s">
        <v>144</v>
      </c>
      <c r="CC1" s="1" t="s">
        <v>145</v>
      </c>
    </row>
    <row r="2" spans="1:81" s="3" customFormat="1" ht="15" customHeight="1" x14ac:dyDescent="0.2">
      <c r="A2" s="4" t="s">
        <v>82</v>
      </c>
      <c r="B2" s="4" t="b">
        <v>1</v>
      </c>
      <c r="C2" s="4" t="s">
        <v>146</v>
      </c>
      <c r="D2" s="4" t="s">
        <v>147</v>
      </c>
      <c r="E2" s="4">
        <v>400</v>
      </c>
      <c r="F2" s="4" t="s">
        <v>148</v>
      </c>
      <c r="G2" s="4" t="s">
        <v>149</v>
      </c>
      <c r="H2" s="4" t="s">
        <v>150</v>
      </c>
      <c r="I2" s="4">
        <v>1.1000000000000001</v>
      </c>
      <c r="J2" s="4">
        <v>0.18</v>
      </c>
      <c r="K2" s="4" t="s">
        <v>151</v>
      </c>
      <c r="L2" s="4" t="s">
        <v>152</v>
      </c>
      <c r="M2" s="4" t="s">
        <v>153</v>
      </c>
      <c r="N2" s="4" t="s">
        <v>150</v>
      </c>
      <c r="O2" s="4">
        <v>1.2</v>
      </c>
      <c r="P2" s="4">
        <v>1.1000000000000001</v>
      </c>
      <c r="Q2" s="4" t="s">
        <v>154</v>
      </c>
      <c r="R2" s="4" t="s">
        <v>155</v>
      </c>
      <c r="S2" s="4" t="s">
        <v>153</v>
      </c>
      <c r="T2" s="4" t="s">
        <v>150</v>
      </c>
      <c r="U2" s="4">
        <v>3</v>
      </c>
      <c r="V2" s="4">
        <v>0.09</v>
      </c>
      <c r="W2" s="4" t="s">
        <v>154</v>
      </c>
      <c r="X2" s="4" t="s">
        <v>156</v>
      </c>
      <c r="Y2" s="4" t="s">
        <v>157</v>
      </c>
      <c r="Z2" s="4" t="s">
        <v>158</v>
      </c>
      <c r="AA2" s="4">
        <v>0.3</v>
      </c>
      <c r="AB2" s="4">
        <v>0.18</v>
      </c>
      <c r="AC2" s="4" t="s">
        <v>151</v>
      </c>
      <c r="AD2" s="4" t="s">
        <v>159</v>
      </c>
      <c r="AE2" s="4" t="s">
        <v>160</v>
      </c>
      <c r="AF2" s="4" t="s">
        <v>158</v>
      </c>
      <c r="AG2" s="4">
        <v>0.5</v>
      </c>
      <c r="AH2" s="4">
        <v>1</v>
      </c>
      <c r="AI2" s="4" t="s">
        <v>154</v>
      </c>
      <c r="AJ2" s="4" t="s">
        <v>161</v>
      </c>
      <c r="AK2" s="4" t="s">
        <v>160</v>
      </c>
      <c r="AL2" s="4" t="s">
        <v>158</v>
      </c>
      <c r="AM2" s="4">
        <v>0.8</v>
      </c>
      <c r="AN2" s="4">
        <v>0.09</v>
      </c>
      <c r="AO2" s="4" t="s">
        <v>154</v>
      </c>
      <c r="AP2" s="4" t="s">
        <v>162</v>
      </c>
      <c r="AQ2" s="4" t="s">
        <v>160</v>
      </c>
      <c r="AR2" s="4" t="s">
        <v>158</v>
      </c>
      <c r="AS2" s="4">
        <v>1.5</v>
      </c>
      <c r="AT2" s="4">
        <v>0.04</v>
      </c>
      <c r="AU2" s="4" t="s">
        <v>154</v>
      </c>
      <c r="AV2" s="4" t="s">
        <v>163</v>
      </c>
      <c r="AW2" s="4" t="s">
        <v>160</v>
      </c>
      <c r="AX2" s="4" t="s">
        <v>158</v>
      </c>
      <c r="AY2" s="4">
        <v>1.008</v>
      </c>
      <c r="AZ2" s="4">
        <v>1.008</v>
      </c>
      <c r="BA2" s="4" t="s">
        <v>154</v>
      </c>
      <c r="BB2" s="4"/>
      <c r="BC2" s="4" t="b">
        <v>1</v>
      </c>
      <c r="BD2" s="4"/>
      <c r="BE2" s="4"/>
      <c r="BF2" s="4" t="s">
        <v>164</v>
      </c>
      <c r="BG2" s="4" t="s">
        <v>92</v>
      </c>
      <c r="BH2" s="4" t="s">
        <v>66</v>
      </c>
      <c r="BI2" s="4" t="s">
        <v>154</v>
      </c>
      <c r="BJ2" s="4"/>
      <c r="BK2" s="4"/>
      <c r="BL2" s="4" t="s">
        <v>146</v>
      </c>
      <c r="BM2" s="4"/>
      <c r="BN2" s="4" t="s">
        <v>165</v>
      </c>
      <c r="BO2" s="4" t="s">
        <v>166</v>
      </c>
      <c r="BP2" s="4" t="s">
        <v>167</v>
      </c>
      <c r="BQ2" s="4" t="s">
        <v>168</v>
      </c>
      <c r="BR2" s="4"/>
      <c r="BS2" s="4"/>
      <c r="BT2" s="4"/>
      <c r="BU2" s="4"/>
      <c r="BV2" s="4" t="s">
        <v>169</v>
      </c>
      <c r="BW2" s="4"/>
      <c r="BX2" s="4"/>
      <c r="BY2" s="4"/>
      <c r="BZ2" s="4"/>
      <c r="CC2" s="3" t="s">
        <v>170</v>
      </c>
    </row>
    <row r="3" spans="1:81" s="3" customFormat="1" ht="15" customHeight="1" x14ac:dyDescent="0.2">
      <c r="A3" s="4" t="s">
        <v>171</v>
      </c>
      <c r="B3" s="4" t="b">
        <v>1</v>
      </c>
      <c r="C3" s="4" t="s">
        <v>146</v>
      </c>
      <c r="D3" s="4" t="s">
        <v>147</v>
      </c>
      <c r="E3" s="4">
        <v>100</v>
      </c>
      <c r="F3" s="4" t="s">
        <v>148</v>
      </c>
      <c r="G3" s="4" t="s">
        <v>153</v>
      </c>
      <c r="H3" s="4" t="s">
        <v>150</v>
      </c>
      <c r="I3" s="4">
        <v>0.8</v>
      </c>
      <c r="J3" s="4">
        <v>0.18</v>
      </c>
      <c r="K3" s="4" t="s">
        <v>151</v>
      </c>
      <c r="L3" s="4" t="s">
        <v>152</v>
      </c>
      <c r="M3" s="4" t="s">
        <v>153</v>
      </c>
      <c r="N3" s="4" t="s">
        <v>150</v>
      </c>
      <c r="O3" s="4">
        <v>1.2</v>
      </c>
      <c r="P3" s="4">
        <v>1.1000000000000001</v>
      </c>
      <c r="Q3" s="4" t="s">
        <v>154</v>
      </c>
      <c r="R3" s="4" t="s">
        <v>155</v>
      </c>
      <c r="S3" s="4" t="s">
        <v>153</v>
      </c>
      <c r="T3" s="4" t="s">
        <v>150</v>
      </c>
      <c r="U3" s="4">
        <v>3</v>
      </c>
      <c r="V3" s="4">
        <v>0.09</v>
      </c>
      <c r="W3" s="4" t="s">
        <v>154</v>
      </c>
      <c r="X3" s="4" t="s">
        <v>156</v>
      </c>
      <c r="Y3" s="4" t="s">
        <v>160</v>
      </c>
      <c r="Z3" s="4" t="s">
        <v>158</v>
      </c>
      <c r="AA3" s="4">
        <v>0.25</v>
      </c>
      <c r="AB3" s="4">
        <v>0.18</v>
      </c>
      <c r="AC3" s="4" t="s">
        <v>151</v>
      </c>
      <c r="AD3" s="4" t="s">
        <v>159</v>
      </c>
      <c r="AE3" s="4" t="s">
        <v>160</v>
      </c>
      <c r="AF3" s="4" t="s">
        <v>158</v>
      </c>
      <c r="AG3" s="4">
        <v>0.5</v>
      </c>
      <c r="AH3" s="4">
        <v>1</v>
      </c>
      <c r="AI3" s="4" t="s">
        <v>154</v>
      </c>
      <c r="AJ3" s="4" t="s">
        <v>161</v>
      </c>
      <c r="AK3" s="4" t="s">
        <v>160</v>
      </c>
      <c r="AL3" s="4" t="s">
        <v>158</v>
      </c>
      <c r="AM3" s="4">
        <v>0.8</v>
      </c>
      <c r="AN3" s="4">
        <v>0.09</v>
      </c>
      <c r="AO3" s="4" t="s">
        <v>154</v>
      </c>
      <c r="AP3" s="4" t="s">
        <v>162</v>
      </c>
      <c r="AQ3" s="4" t="s">
        <v>160</v>
      </c>
      <c r="AR3" s="4" t="s">
        <v>158</v>
      </c>
      <c r="AS3" s="4">
        <v>1.5</v>
      </c>
      <c r="AT3" s="4">
        <v>0.04</v>
      </c>
      <c r="AU3" s="4" t="s">
        <v>154</v>
      </c>
      <c r="AV3" s="4" t="s">
        <v>163</v>
      </c>
      <c r="AW3" s="4" t="s">
        <v>160</v>
      </c>
      <c r="AX3" s="4" t="s">
        <v>158</v>
      </c>
      <c r="AY3" s="4">
        <v>1.008</v>
      </c>
      <c r="AZ3" s="4">
        <v>1.008</v>
      </c>
      <c r="BA3" s="4" t="s">
        <v>154</v>
      </c>
      <c r="BB3" s="4"/>
      <c r="BC3" s="4" t="b">
        <v>1</v>
      </c>
      <c r="BD3" s="4"/>
      <c r="BE3" s="4"/>
      <c r="BF3" s="4" t="s">
        <v>172</v>
      </c>
      <c r="BG3" s="4" t="s">
        <v>94</v>
      </c>
      <c r="BH3" s="4" t="s">
        <v>173</v>
      </c>
      <c r="BI3" s="4" t="s">
        <v>154</v>
      </c>
      <c r="BJ3" s="4"/>
      <c r="BK3" s="4"/>
      <c r="BL3" s="4" t="s">
        <v>146</v>
      </c>
      <c r="BM3" s="4"/>
      <c r="BN3" s="4" t="s">
        <v>165</v>
      </c>
      <c r="BO3" s="4" t="s">
        <v>174</v>
      </c>
      <c r="BP3" s="4" t="s">
        <v>175</v>
      </c>
      <c r="BQ3" s="4" t="s">
        <v>168</v>
      </c>
      <c r="BR3" s="4"/>
      <c r="BS3" s="4"/>
      <c r="BT3" s="4"/>
      <c r="BU3" s="4"/>
      <c r="BV3" s="4" t="s">
        <v>176</v>
      </c>
      <c r="BW3" s="4"/>
      <c r="BX3" s="4"/>
      <c r="BY3" s="4"/>
      <c r="BZ3" s="4"/>
      <c r="CC3" s="3" t="s">
        <v>177</v>
      </c>
    </row>
    <row r="4" spans="1:81" s="3" customFormat="1" ht="15" customHeight="1" x14ac:dyDescent="0.2">
      <c r="A4" s="4" t="s">
        <v>178</v>
      </c>
      <c r="B4" s="4" t="b">
        <v>1</v>
      </c>
      <c r="C4" s="4" t="s">
        <v>146</v>
      </c>
      <c r="D4" s="4" t="s">
        <v>147</v>
      </c>
      <c r="E4" s="4">
        <v>400</v>
      </c>
      <c r="F4" s="4" t="s">
        <v>148</v>
      </c>
      <c r="G4" s="4" t="s">
        <v>149</v>
      </c>
      <c r="H4" s="4" t="s">
        <v>150</v>
      </c>
      <c r="I4" s="4">
        <v>1.1000000000000001</v>
      </c>
      <c r="J4" s="4">
        <v>0.18</v>
      </c>
      <c r="K4" s="4" t="s">
        <v>151</v>
      </c>
      <c r="L4" s="4" t="s">
        <v>152</v>
      </c>
      <c r="M4" s="4" t="s">
        <v>153</v>
      </c>
      <c r="N4" s="4" t="s">
        <v>150</v>
      </c>
      <c r="O4" s="4">
        <v>1.2</v>
      </c>
      <c r="P4" s="4">
        <v>1.1000000000000001</v>
      </c>
      <c r="Q4" s="4" t="s">
        <v>154</v>
      </c>
      <c r="R4" s="4" t="s">
        <v>155</v>
      </c>
      <c r="S4" s="4" t="s">
        <v>153</v>
      </c>
      <c r="T4" s="4" t="s">
        <v>150</v>
      </c>
      <c r="U4" s="4">
        <v>3</v>
      </c>
      <c r="V4" s="4">
        <v>0.09</v>
      </c>
      <c r="W4" s="4" t="s">
        <v>154</v>
      </c>
      <c r="X4" s="4" t="s">
        <v>156</v>
      </c>
      <c r="Y4" s="4" t="s">
        <v>157</v>
      </c>
      <c r="Z4" s="4" t="s">
        <v>158</v>
      </c>
      <c r="AA4" s="4">
        <v>0.3</v>
      </c>
      <c r="AB4" s="4">
        <v>0.18</v>
      </c>
      <c r="AC4" s="4" t="s">
        <v>151</v>
      </c>
      <c r="AD4" s="4" t="s">
        <v>159</v>
      </c>
      <c r="AE4" s="4" t="s">
        <v>160</v>
      </c>
      <c r="AF4" s="4" t="s">
        <v>158</v>
      </c>
      <c r="AG4" s="4">
        <v>0.5</v>
      </c>
      <c r="AH4" s="4">
        <v>1</v>
      </c>
      <c r="AI4" s="4" t="s">
        <v>154</v>
      </c>
      <c r="AJ4" s="4" t="s">
        <v>161</v>
      </c>
      <c r="AK4" s="4" t="s">
        <v>160</v>
      </c>
      <c r="AL4" s="4" t="s">
        <v>158</v>
      </c>
      <c r="AM4" s="4">
        <v>0.8</v>
      </c>
      <c r="AN4" s="4">
        <v>0.09</v>
      </c>
      <c r="AO4" s="4" t="s">
        <v>154</v>
      </c>
      <c r="AP4" s="4" t="s">
        <v>162</v>
      </c>
      <c r="AQ4" s="4" t="s">
        <v>160</v>
      </c>
      <c r="AR4" s="4" t="s">
        <v>158</v>
      </c>
      <c r="AS4" s="4">
        <v>1.5</v>
      </c>
      <c r="AT4" s="4">
        <v>0.04</v>
      </c>
      <c r="AU4" s="4" t="s">
        <v>154</v>
      </c>
      <c r="AV4" s="4" t="s">
        <v>163</v>
      </c>
      <c r="AW4" s="4" t="s">
        <v>160</v>
      </c>
      <c r="AX4" s="4" t="s">
        <v>158</v>
      </c>
      <c r="AY4" s="4">
        <v>1.008</v>
      </c>
      <c r="AZ4" s="4">
        <v>1.008</v>
      </c>
      <c r="BA4" s="4" t="s">
        <v>154</v>
      </c>
      <c r="BB4" s="4"/>
      <c r="BC4" s="4" t="b">
        <v>1</v>
      </c>
      <c r="BD4" s="4"/>
      <c r="BE4" s="4"/>
      <c r="BF4" s="4" t="s">
        <v>172</v>
      </c>
      <c r="BG4" s="4" t="s">
        <v>65</v>
      </c>
      <c r="BH4" s="4" t="s">
        <v>66</v>
      </c>
      <c r="BI4" s="4" t="s">
        <v>154</v>
      </c>
      <c r="BJ4" s="4"/>
      <c r="BK4" s="4"/>
      <c r="BL4" s="4" t="s">
        <v>146</v>
      </c>
      <c r="BM4" s="4"/>
      <c r="BN4" s="4" t="s">
        <v>165</v>
      </c>
      <c r="BO4" s="4" t="s">
        <v>166</v>
      </c>
      <c r="BP4" s="4" t="s">
        <v>167</v>
      </c>
      <c r="BQ4" s="4" t="s">
        <v>168</v>
      </c>
      <c r="BR4" s="4"/>
      <c r="BS4" s="4"/>
      <c r="BT4" s="4"/>
      <c r="BU4" s="4"/>
      <c r="BV4" s="4" t="s">
        <v>179</v>
      </c>
      <c r="BW4" s="4"/>
      <c r="BX4" s="4"/>
      <c r="BY4" s="4"/>
      <c r="BZ4" s="4"/>
      <c r="CC4" s="3" t="s">
        <v>180</v>
      </c>
    </row>
    <row r="5" spans="1:81" s="3" customFormat="1" ht="48" x14ac:dyDescent="0.2">
      <c r="A5" s="4" t="s">
        <v>70</v>
      </c>
      <c r="B5" s="4" t="b">
        <v>0</v>
      </c>
      <c r="C5" s="4" t="s">
        <v>146</v>
      </c>
      <c r="D5" s="4" t="s">
        <v>147</v>
      </c>
      <c r="E5" s="4">
        <v>400</v>
      </c>
      <c r="F5" s="4" t="s">
        <v>148</v>
      </c>
      <c r="G5" s="4" t="s">
        <v>149</v>
      </c>
      <c r="H5" s="4" t="s">
        <v>150</v>
      </c>
      <c r="I5" s="4">
        <v>1.1000000000000001</v>
      </c>
      <c r="J5" s="4">
        <v>0.22</v>
      </c>
      <c r="K5" s="4" t="s">
        <v>151</v>
      </c>
      <c r="L5" s="4" t="s">
        <v>152</v>
      </c>
      <c r="M5" s="4" t="s">
        <v>153</v>
      </c>
      <c r="N5" s="4" t="s">
        <v>150</v>
      </c>
      <c r="O5" s="4">
        <v>1.2</v>
      </c>
      <c r="P5" s="4">
        <v>1.1000000000000001</v>
      </c>
      <c r="Q5" s="4" t="s">
        <v>154</v>
      </c>
      <c r="R5" s="4" t="s">
        <v>155</v>
      </c>
      <c r="S5" s="4" t="s">
        <v>153</v>
      </c>
      <c r="T5" s="4" t="s">
        <v>150</v>
      </c>
      <c r="U5" s="4">
        <v>3</v>
      </c>
      <c r="V5" s="4">
        <v>0.1</v>
      </c>
      <c r="W5" s="4" t="s">
        <v>154</v>
      </c>
      <c r="X5" s="4" t="s">
        <v>156</v>
      </c>
      <c r="Y5" s="4" t="s">
        <v>157</v>
      </c>
      <c r="Z5" s="4" t="s">
        <v>158</v>
      </c>
      <c r="AA5" s="4">
        <v>0.3</v>
      </c>
      <c r="AB5" s="4">
        <v>0.22</v>
      </c>
      <c r="AC5" s="4" t="s">
        <v>151</v>
      </c>
      <c r="AD5" s="4" t="s">
        <v>159</v>
      </c>
      <c r="AE5" s="4" t="s">
        <v>160</v>
      </c>
      <c r="AF5" s="4" t="s">
        <v>158</v>
      </c>
      <c r="AG5" s="4">
        <v>0.5</v>
      </c>
      <c r="AH5" s="4">
        <v>1</v>
      </c>
      <c r="AI5" s="4" t="s">
        <v>154</v>
      </c>
      <c r="AJ5" s="4" t="s">
        <v>161</v>
      </c>
      <c r="AK5" s="4" t="s">
        <v>160</v>
      </c>
      <c r="AL5" s="4" t="s">
        <v>158</v>
      </c>
      <c r="AM5" s="4">
        <v>0.8</v>
      </c>
      <c r="AN5" s="4">
        <v>0.09</v>
      </c>
      <c r="AO5" s="4" t="s">
        <v>154</v>
      </c>
      <c r="AP5" s="4" t="s">
        <v>162</v>
      </c>
      <c r="AQ5" s="4" t="s">
        <v>160</v>
      </c>
      <c r="AR5" s="4" t="s">
        <v>158</v>
      </c>
      <c r="AS5" s="4">
        <v>1.5</v>
      </c>
      <c r="AT5" s="4">
        <v>0.04</v>
      </c>
      <c r="AU5" s="4" t="s">
        <v>154</v>
      </c>
      <c r="AV5" s="4" t="s">
        <v>163</v>
      </c>
      <c r="AW5" s="4" t="s">
        <v>160</v>
      </c>
      <c r="AX5" s="4" t="s">
        <v>158</v>
      </c>
      <c r="AY5" s="4">
        <v>1.008</v>
      </c>
      <c r="AZ5" s="4">
        <v>1.008</v>
      </c>
      <c r="BA5" s="4" t="s">
        <v>154</v>
      </c>
      <c r="BB5" s="4"/>
      <c r="BC5" s="4" t="b">
        <v>1</v>
      </c>
      <c r="BD5" s="4"/>
      <c r="BE5" s="4"/>
      <c r="BF5" s="4" t="s">
        <v>181</v>
      </c>
      <c r="BG5" s="4" t="s">
        <v>92</v>
      </c>
      <c r="BH5" s="4" t="s">
        <v>66</v>
      </c>
      <c r="BI5" s="4" t="s">
        <v>154</v>
      </c>
      <c r="BJ5" s="4"/>
      <c r="BK5" s="4"/>
      <c r="BL5" s="4" t="s">
        <v>146</v>
      </c>
      <c r="BM5" s="4"/>
      <c r="BN5" s="4" t="s">
        <v>165</v>
      </c>
      <c r="BO5" s="4" t="s">
        <v>166</v>
      </c>
      <c r="BP5" s="4" t="s">
        <v>167</v>
      </c>
      <c r="BQ5" s="4" t="s">
        <v>168</v>
      </c>
      <c r="BR5" s="4"/>
      <c r="BS5" s="4"/>
      <c r="BT5" s="4"/>
      <c r="BU5" s="4"/>
      <c r="BV5" s="4" t="s">
        <v>182</v>
      </c>
      <c r="BW5" s="4"/>
      <c r="BX5" s="4"/>
      <c r="BY5" s="4"/>
      <c r="BZ5" s="4"/>
      <c r="CC5" s="3" t="s">
        <v>183</v>
      </c>
    </row>
    <row r="6" spans="1:81" s="3" customFormat="1" ht="48" x14ac:dyDescent="0.2">
      <c r="A6" s="4" t="s">
        <v>184</v>
      </c>
      <c r="B6" s="4" t="b">
        <v>1</v>
      </c>
      <c r="C6" s="4" t="s">
        <v>146</v>
      </c>
      <c r="D6" s="4" t="s">
        <v>147</v>
      </c>
      <c r="E6" s="4">
        <v>400</v>
      </c>
      <c r="F6" s="4" t="s">
        <v>148</v>
      </c>
      <c r="G6" s="4" t="s">
        <v>153</v>
      </c>
      <c r="H6" s="4" t="s">
        <v>150</v>
      </c>
      <c r="I6" s="4">
        <v>1.1000000000000001</v>
      </c>
      <c r="J6" s="4">
        <v>0.18</v>
      </c>
      <c r="K6" s="4" t="s">
        <v>151</v>
      </c>
      <c r="L6" s="4" t="s">
        <v>152</v>
      </c>
      <c r="M6" s="4" t="s">
        <v>153</v>
      </c>
      <c r="N6" s="4" t="s">
        <v>150</v>
      </c>
      <c r="O6" s="4">
        <v>1.2</v>
      </c>
      <c r="P6" s="4">
        <v>1.1000000000000001</v>
      </c>
      <c r="Q6" s="4" t="s">
        <v>154</v>
      </c>
      <c r="R6" s="4" t="s">
        <v>155</v>
      </c>
      <c r="S6" s="4" t="s">
        <v>153</v>
      </c>
      <c r="T6" s="4" t="s">
        <v>150</v>
      </c>
      <c r="U6" s="4">
        <v>3</v>
      </c>
      <c r="V6" s="4">
        <v>0.09</v>
      </c>
      <c r="W6" s="4" t="s">
        <v>151</v>
      </c>
      <c r="X6" s="4" t="s">
        <v>156</v>
      </c>
      <c r="Y6" s="4" t="s">
        <v>160</v>
      </c>
      <c r="Z6" s="4" t="s">
        <v>158</v>
      </c>
      <c r="AA6" s="4">
        <v>0.3</v>
      </c>
      <c r="AB6" s="4">
        <v>0.18</v>
      </c>
      <c r="AC6" s="4" t="s">
        <v>151</v>
      </c>
      <c r="AD6" s="4" t="s">
        <v>159</v>
      </c>
      <c r="AE6" s="4" t="s">
        <v>160</v>
      </c>
      <c r="AF6" s="4" t="s">
        <v>158</v>
      </c>
      <c r="AG6" s="4">
        <v>0.5</v>
      </c>
      <c r="AH6" s="4">
        <v>1</v>
      </c>
      <c r="AI6" s="4" t="s">
        <v>154</v>
      </c>
      <c r="AJ6" s="4" t="s">
        <v>161</v>
      </c>
      <c r="AK6" s="4" t="s">
        <v>160</v>
      </c>
      <c r="AL6" s="4" t="s">
        <v>158</v>
      </c>
      <c r="AM6" s="4">
        <v>0.8</v>
      </c>
      <c r="AN6" s="4">
        <v>0.09</v>
      </c>
      <c r="AO6" s="4" t="s">
        <v>151</v>
      </c>
      <c r="AP6" s="4" t="s">
        <v>162</v>
      </c>
      <c r="AQ6" s="4" t="s">
        <v>160</v>
      </c>
      <c r="AR6" s="4" t="s">
        <v>158</v>
      </c>
      <c r="AS6" s="4">
        <v>1.5</v>
      </c>
      <c r="AT6" s="4">
        <v>0.04</v>
      </c>
      <c r="AU6" s="4" t="s">
        <v>154</v>
      </c>
      <c r="AV6" s="4" t="s">
        <v>163</v>
      </c>
      <c r="AW6" s="4" t="s">
        <v>160</v>
      </c>
      <c r="AX6" s="4" t="s">
        <v>158</v>
      </c>
      <c r="AY6" s="4">
        <v>1.008</v>
      </c>
      <c r="AZ6" s="4">
        <v>1.008</v>
      </c>
      <c r="BA6" s="4" t="s">
        <v>154</v>
      </c>
      <c r="BB6" s="4"/>
      <c r="BC6" s="4" t="b">
        <v>1</v>
      </c>
      <c r="BD6" s="4"/>
      <c r="BE6" s="4"/>
      <c r="BF6" s="4" t="s">
        <v>164</v>
      </c>
      <c r="BG6" s="4" t="s">
        <v>65</v>
      </c>
      <c r="BH6" s="4" t="s">
        <v>66</v>
      </c>
      <c r="BI6" s="4" t="s">
        <v>154</v>
      </c>
      <c r="BJ6" s="4"/>
      <c r="BK6" s="4"/>
      <c r="BL6" s="4" t="s">
        <v>146</v>
      </c>
      <c r="BM6" s="4"/>
      <c r="BN6" s="4" t="s">
        <v>165</v>
      </c>
      <c r="BO6" s="4" t="s">
        <v>166</v>
      </c>
      <c r="BP6" s="4" t="s">
        <v>167</v>
      </c>
      <c r="BQ6" s="4" t="s">
        <v>168</v>
      </c>
      <c r="BR6" s="4"/>
      <c r="BS6" s="4"/>
      <c r="BT6" s="4"/>
      <c r="BU6" s="4"/>
      <c r="BV6" s="4" t="s">
        <v>185</v>
      </c>
      <c r="BW6" s="4"/>
      <c r="BX6" s="4"/>
      <c r="BY6" s="4"/>
      <c r="BZ6" s="4"/>
      <c r="CC6" s="3" t="s">
        <v>186</v>
      </c>
    </row>
  </sheetData>
  <conditionalFormatting sqref="A8:XFD8">
    <cfRule type="cellIs" dxfId="5" priority="2" operator="equal">
      <formula>"FALSE"</formula>
    </cfRule>
  </conditionalFormatting>
  <conditionalFormatting sqref="A136:XFD136">
    <cfRule type="cellIs" dxfId="4" priority="1" operator="equal">
      <formula>"false"</formula>
    </cfRule>
  </conditionalFormatting>
  <pageMargins left="0.75" right="0.75" top="1" bottom="1" header="0.5" footer="0.5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BF57"/>
  <sheetViews>
    <sheetView tabSelected="1" topLeftCell="C1" zoomScale="115" zoomScaleNormal="115" workbookViewId="0">
      <selection activeCell="AL5" sqref="AL5"/>
    </sheetView>
  </sheetViews>
  <sheetFormatPr baseColWidth="10" defaultRowHeight="12" x14ac:dyDescent="0.2"/>
  <cols>
    <col min="1" max="1" width="25.42578125" style="3" bestFit="1" customWidth="1"/>
    <col min="2" max="2" width="25.42578125" style="3" customWidth="1"/>
    <col min="3" max="3" width="12" style="3" customWidth="1"/>
    <col min="4" max="4" width="8" style="3" customWidth="1"/>
    <col min="5" max="5" width="16.42578125" style="3" customWidth="1"/>
    <col min="6" max="6" width="8.85546875" style="3" customWidth="1"/>
    <col min="7" max="7" width="5.5703125" style="3" customWidth="1"/>
    <col min="8" max="8" width="8.140625" style="3" bestFit="1" customWidth="1"/>
    <col min="9" max="9" width="13.140625" style="3" bestFit="1" customWidth="1"/>
    <col min="10" max="10" width="7.140625" style="3" hidden="1" customWidth="1"/>
    <col min="11" max="11" width="11.42578125" style="3" hidden="1" customWidth="1"/>
    <col min="12" max="12" width="4.85546875" style="3" hidden="1" customWidth="1"/>
    <col min="13" max="13" width="7.140625" style="3" hidden="1" customWidth="1"/>
    <col min="14" max="14" width="11.42578125" style="3" hidden="1" customWidth="1"/>
    <col min="15" max="15" width="4.85546875" style="3" hidden="1" customWidth="1"/>
    <col min="16" max="16" width="7.140625" style="3" hidden="1" customWidth="1"/>
    <col min="17" max="17" width="10" style="3" hidden="1" customWidth="1"/>
    <col min="18" max="18" width="4.85546875" style="3" hidden="1" customWidth="1"/>
    <col min="19" max="19" width="7.140625" style="3" hidden="1" customWidth="1"/>
    <col min="20" max="20" width="11.42578125" style="3" hidden="1" customWidth="1"/>
    <col min="21" max="21" width="4.85546875" style="3" hidden="1" customWidth="1"/>
    <col min="22" max="22" width="7.140625" style="3" hidden="1" customWidth="1"/>
    <col min="23" max="23" width="11.42578125" style="3" hidden="1" customWidth="1"/>
    <col min="24" max="24" width="4.85546875" style="3" hidden="1" customWidth="1"/>
    <col min="25" max="25" width="7.140625" style="3" hidden="1" customWidth="1"/>
    <col min="26" max="26" width="10" style="3" hidden="1" customWidth="1"/>
    <col min="27" max="27" width="4.85546875" style="3" customWidth="1"/>
    <col min="28" max="28" width="7.140625" style="3" bestFit="1" customWidth="1"/>
    <col min="29" max="29" width="7.140625" style="3" customWidth="1"/>
    <col min="30" max="30" width="10.7109375" style="3" customWidth="1"/>
    <col min="31" max="31" width="4.85546875" style="3" bestFit="1" customWidth="1"/>
    <col min="32" max="32" width="7.140625" style="3" bestFit="1" customWidth="1"/>
    <col min="33" max="33" width="10.140625" style="3" bestFit="1" customWidth="1"/>
    <col min="34" max="34" width="10.7109375" style="3" customWidth="1"/>
    <col min="35" max="35" width="4.85546875" style="3" bestFit="1" customWidth="1"/>
    <col min="36" max="36" width="7.140625" style="3" bestFit="1" customWidth="1"/>
    <col min="37" max="37" width="7.140625" style="3" customWidth="1"/>
    <col min="38" max="38" width="10.7109375" style="3" customWidth="1"/>
    <col min="39" max="39" width="4.85546875" style="3" bestFit="1" customWidth="1"/>
    <col min="40" max="40" width="7.140625" style="3" bestFit="1" customWidth="1"/>
    <col min="41" max="41" width="7.140625" style="3" customWidth="1"/>
    <col min="42" max="42" width="10.7109375" style="3" customWidth="1"/>
    <col min="43" max="43" width="4.85546875" style="3" bestFit="1" customWidth="1"/>
    <col min="44" max="44" width="7.140625" style="3" bestFit="1" customWidth="1"/>
    <col min="45" max="45" width="10.140625" style="3" bestFit="1" customWidth="1"/>
    <col min="46" max="46" width="10.7109375" style="3" customWidth="1"/>
    <col min="47" max="47" width="4.85546875" style="3" bestFit="1" customWidth="1"/>
    <col min="48" max="48" width="7.140625" style="3" bestFit="1" customWidth="1"/>
    <col min="49" max="49" width="7.140625" style="3" customWidth="1"/>
    <col min="50" max="50" width="10.7109375" style="3" customWidth="1"/>
    <col min="51" max="51" width="4.85546875" style="3" bestFit="1" customWidth="1"/>
    <col min="52" max="57" width="4.85546875" style="3" customWidth="1"/>
    <col min="58" max="58" width="3.85546875" style="3" bestFit="1" customWidth="1"/>
    <col min="59" max="16384" width="11.42578125" style="3"/>
  </cols>
  <sheetData>
    <row r="1" spans="1:58" x14ac:dyDescent="0.2">
      <c r="J1" s="9" t="s">
        <v>22</v>
      </c>
      <c r="N1" s="3" t="s">
        <v>107</v>
      </c>
      <c r="O1" s="3" t="s">
        <v>107</v>
      </c>
    </row>
    <row r="2" spans="1:58" x14ac:dyDescent="0.2">
      <c r="J2" s="5" t="s">
        <v>18</v>
      </c>
    </row>
    <row r="3" spans="1:58" x14ac:dyDescent="0.2">
      <c r="J3" s="5" t="s">
        <v>0</v>
      </c>
    </row>
    <row r="4" spans="1:58" x14ac:dyDescent="0.2">
      <c r="J4" s="5" t="s">
        <v>19</v>
      </c>
    </row>
    <row r="5" spans="1:58" x14ac:dyDescent="0.2">
      <c r="J5" s="5"/>
    </row>
    <row r="11" spans="1:58" ht="15.75" customHeight="1" thickBot="1" x14ac:dyDescent="0.3">
      <c r="B11" s="82" t="s">
        <v>3</v>
      </c>
      <c r="C11" s="82"/>
      <c r="D11" s="82"/>
      <c r="E11" s="63" t="s">
        <v>73</v>
      </c>
      <c r="F11" s="64"/>
      <c r="G11" s="63" t="s">
        <v>2</v>
      </c>
      <c r="H11" s="64"/>
      <c r="I11" s="7" t="s">
        <v>3</v>
      </c>
      <c r="J11" s="80" t="s">
        <v>6</v>
      </c>
      <c r="K11" s="80"/>
      <c r="L11" s="80"/>
      <c r="M11" s="80"/>
      <c r="N11" s="80"/>
      <c r="O11" s="80"/>
      <c r="P11" s="80"/>
      <c r="Q11" s="80"/>
      <c r="R11" s="80"/>
      <c r="S11" s="72" t="s">
        <v>7</v>
      </c>
      <c r="T11" s="72"/>
      <c r="U11" s="72"/>
      <c r="V11" s="72"/>
      <c r="W11" s="72"/>
      <c r="X11" s="72"/>
      <c r="Y11" s="72"/>
      <c r="Z11" s="72"/>
      <c r="AA11" s="72"/>
      <c r="AB11" s="80" t="s">
        <v>6</v>
      </c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72" t="s">
        <v>7</v>
      </c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3" t="s">
        <v>24</v>
      </c>
      <c r="BA11" s="74"/>
      <c r="BB11" s="75"/>
      <c r="BC11" s="73" t="s">
        <v>88</v>
      </c>
      <c r="BD11" s="74"/>
      <c r="BE11" s="75"/>
      <c r="BF11" s="69" t="s">
        <v>23</v>
      </c>
    </row>
    <row r="12" spans="1:58" ht="12" customHeight="1" x14ac:dyDescent="0.2">
      <c r="A12" s="60" t="s">
        <v>14</v>
      </c>
      <c r="B12" s="67" t="s">
        <v>89</v>
      </c>
      <c r="C12" s="65" t="s">
        <v>90</v>
      </c>
      <c r="D12" s="67" t="s">
        <v>87</v>
      </c>
      <c r="E12" s="65" t="s">
        <v>72</v>
      </c>
      <c r="F12" s="67" t="s">
        <v>71</v>
      </c>
      <c r="G12" s="70" t="s">
        <v>20</v>
      </c>
      <c r="H12" s="67" t="s">
        <v>21</v>
      </c>
      <c r="I12" s="70" t="s">
        <v>5</v>
      </c>
      <c r="J12" s="8" t="s">
        <v>8</v>
      </c>
      <c r="K12" s="81" t="s">
        <v>671</v>
      </c>
      <c r="L12" s="81" t="s">
        <v>11</v>
      </c>
      <c r="M12" s="8" t="s">
        <v>8</v>
      </c>
      <c r="N12" s="81" t="s">
        <v>671</v>
      </c>
      <c r="O12" s="81" t="s">
        <v>11</v>
      </c>
      <c r="P12" s="8" t="s">
        <v>8</v>
      </c>
      <c r="Q12" s="81" t="s">
        <v>671</v>
      </c>
      <c r="R12" s="81" t="s">
        <v>11</v>
      </c>
      <c r="S12" s="6" t="s">
        <v>8</v>
      </c>
      <c r="T12" s="71" t="s">
        <v>671</v>
      </c>
      <c r="U12" s="71" t="s">
        <v>11</v>
      </c>
      <c r="V12" s="6" t="s">
        <v>8</v>
      </c>
      <c r="W12" s="71" t="s">
        <v>671</v>
      </c>
      <c r="X12" s="71" t="s">
        <v>11</v>
      </c>
      <c r="Y12" s="6" t="s">
        <v>8</v>
      </c>
      <c r="Z12" s="71" t="s">
        <v>671</v>
      </c>
      <c r="AA12" s="71" t="s">
        <v>11</v>
      </c>
      <c r="AB12" s="57" t="s">
        <v>8</v>
      </c>
      <c r="AC12" s="21" t="s">
        <v>8</v>
      </c>
      <c r="AD12" s="79" t="s">
        <v>10</v>
      </c>
      <c r="AE12" s="81" t="s">
        <v>11</v>
      </c>
      <c r="AF12" s="57" t="s">
        <v>8</v>
      </c>
      <c r="AG12" s="21" t="s">
        <v>8</v>
      </c>
      <c r="AH12" s="79" t="s">
        <v>10</v>
      </c>
      <c r="AI12" s="81" t="s">
        <v>11</v>
      </c>
      <c r="AJ12" s="57" t="s">
        <v>8</v>
      </c>
      <c r="AK12" s="21" t="s">
        <v>8</v>
      </c>
      <c r="AL12" s="79" t="s">
        <v>10</v>
      </c>
      <c r="AM12" s="81" t="s">
        <v>11</v>
      </c>
      <c r="AN12" s="55" t="s">
        <v>8</v>
      </c>
      <c r="AO12" s="21" t="s">
        <v>8</v>
      </c>
      <c r="AP12" s="79" t="s">
        <v>10</v>
      </c>
      <c r="AQ12" s="71" t="s">
        <v>11</v>
      </c>
      <c r="AR12" s="55" t="s">
        <v>8</v>
      </c>
      <c r="AS12" s="21" t="s">
        <v>8</v>
      </c>
      <c r="AT12" s="79" t="s">
        <v>10</v>
      </c>
      <c r="AU12" s="71" t="s">
        <v>11</v>
      </c>
      <c r="AV12" s="58" t="s">
        <v>8</v>
      </c>
      <c r="AW12" s="21" t="s">
        <v>8</v>
      </c>
      <c r="AX12" s="79" t="s">
        <v>10</v>
      </c>
      <c r="AY12" s="71" t="s">
        <v>11</v>
      </c>
      <c r="AZ12" s="76"/>
      <c r="BA12" s="77"/>
      <c r="BB12" s="78"/>
      <c r="BC12" s="76"/>
      <c r="BD12" s="77"/>
      <c r="BE12" s="78"/>
      <c r="BF12" s="69"/>
    </row>
    <row r="13" spans="1:58" ht="18" x14ac:dyDescent="0.2">
      <c r="A13" s="61" t="s">
        <v>3</v>
      </c>
      <c r="B13" s="83"/>
      <c r="C13" s="66"/>
      <c r="D13" s="68"/>
      <c r="E13" s="66"/>
      <c r="F13" s="68"/>
      <c r="G13" s="70"/>
      <c r="H13" s="68"/>
      <c r="I13" s="70"/>
      <c r="J13" s="8" t="s">
        <v>9</v>
      </c>
      <c r="K13" s="81"/>
      <c r="L13" s="81"/>
      <c r="M13" s="8" t="s">
        <v>9</v>
      </c>
      <c r="N13" s="81"/>
      <c r="O13" s="81"/>
      <c r="P13" s="8" t="s">
        <v>9</v>
      </c>
      <c r="Q13" s="81"/>
      <c r="R13" s="81"/>
      <c r="S13" s="6" t="s">
        <v>9</v>
      </c>
      <c r="T13" s="71"/>
      <c r="U13" s="71"/>
      <c r="V13" s="6" t="s">
        <v>9</v>
      </c>
      <c r="W13" s="71"/>
      <c r="X13" s="71"/>
      <c r="Y13" s="6" t="s">
        <v>9</v>
      </c>
      <c r="Z13" s="71"/>
      <c r="AA13" s="71"/>
      <c r="AB13" s="57" t="s">
        <v>9</v>
      </c>
      <c r="AC13" s="21" t="s">
        <v>52</v>
      </c>
      <c r="AD13" s="79"/>
      <c r="AE13" s="81"/>
      <c r="AF13" s="57" t="s">
        <v>9</v>
      </c>
      <c r="AG13" s="21" t="s">
        <v>52</v>
      </c>
      <c r="AH13" s="79"/>
      <c r="AI13" s="81"/>
      <c r="AJ13" s="57" t="s">
        <v>9</v>
      </c>
      <c r="AK13" s="21" t="s">
        <v>52</v>
      </c>
      <c r="AL13" s="79"/>
      <c r="AM13" s="81"/>
      <c r="AN13" s="55" t="s">
        <v>9</v>
      </c>
      <c r="AO13" s="21" t="s">
        <v>52</v>
      </c>
      <c r="AP13" s="79"/>
      <c r="AQ13" s="71"/>
      <c r="AR13" s="55" t="s">
        <v>9</v>
      </c>
      <c r="AS13" s="21" t="s">
        <v>52</v>
      </c>
      <c r="AT13" s="79"/>
      <c r="AU13" s="71"/>
      <c r="AV13" s="58" t="s">
        <v>9</v>
      </c>
      <c r="AW13" s="21" t="s">
        <v>52</v>
      </c>
      <c r="AX13" s="79"/>
      <c r="AY13" s="71"/>
      <c r="AZ13" s="56" t="s">
        <v>15</v>
      </c>
      <c r="BA13" s="56" t="s">
        <v>16</v>
      </c>
      <c r="BB13" s="56" t="s">
        <v>17</v>
      </c>
      <c r="BC13" s="59" t="s">
        <v>15</v>
      </c>
      <c r="BD13" s="59" t="s">
        <v>16</v>
      </c>
      <c r="BE13" s="59" t="s">
        <v>17</v>
      </c>
      <c r="BF13" s="69"/>
    </row>
    <row r="14" spans="1:58" ht="12" customHeight="1" x14ac:dyDescent="0.2">
      <c r="A14" s="4" t="s">
        <v>82</v>
      </c>
      <c r="B14" s="4" t="s">
        <v>82</v>
      </c>
      <c r="C14" s="5" t="s">
        <v>164</v>
      </c>
      <c r="D14" s="5"/>
      <c r="E14" s="5" t="s">
        <v>92</v>
      </c>
      <c r="F14" s="5"/>
      <c r="G14" s="5">
        <v>400</v>
      </c>
      <c r="H14" s="5">
        <v>5</v>
      </c>
      <c r="I14" s="5"/>
      <c r="J14" s="5">
        <v>1.1000000000000001</v>
      </c>
      <c r="K14" s="5" t="s">
        <v>667</v>
      </c>
      <c r="L14" s="5">
        <v>0.18</v>
      </c>
      <c r="M14" s="5"/>
      <c r="N14" s="5"/>
      <c r="O14" s="5"/>
      <c r="P14" s="5"/>
      <c r="Q14" s="5"/>
      <c r="R14" s="5"/>
      <c r="S14" s="5">
        <v>0.3</v>
      </c>
      <c r="T14" s="5" t="s">
        <v>667</v>
      </c>
      <c r="U14" s="5">
        <v>0.18</v>
      </c>
      <c r="V14" s="5"/>
      <c r="W14" s="5"/>
      <c r="X14" s="5"/>
      <c r="Y14" s="5"/>
      <c r="Z14" s="5"/>
      <c r="AA14" s="5"/>
      <c r="AB14" s="5">
        <f>IF(J14="","-",IF(P14="",IF(M14="",J14,MIN(J14,M14)),MIN(J14,M14,P14)))</f>
        <v>1.1000000000000001</v>
      </c>
      <c r="AC14" s="10">
        <f>IF(AB14="-","-",IF(AZ14="Ib",AB14*$G14/$H14,IF(AZ14="Ir",AB14*$G14,"OTRO")))</f>
        <v>440.00000000000006</v>
      </c>
      <c r="AD14" s="5" t="s">
        <v>12</v>
      </c>
      <c r="AE14" s="5">
        <f t="shared" ref="AE14" si="0">IF(AB14=J14,IF(L14="","-",L14),IF(AB14=M14,IF(O14="","-",O14),IF(R14="","-",R14)))</f>
        <v>0.18</v>
      </c>
      <c r="AF14" s="5" t="str">
        <f t="shared" ref="AF14" si="1">IF(M14="","-",IF(P14="",MAX(M14,J14),IF(J14&lt;AJ14,IF(AND(J14&lt;AJ14,J14&gt;AB14)=TRUE,J14,IF(AND(M14&lt;AJ14,M14&gt;AB14)=TRUE,M14,P14)))))</f>
        <v>-</v>
      </c>
      <c r="AG14" s="10" t="str">
        <f>IF(AF14="-","-",IF($BD14="Ib",AF14*$G14/$H14,IF($BD14="Ir",AF14*$G14,"OTRO")))</f>
        <v>-</v>
      </c>
      <c r="AH14" s="5" t="s">
        <v>13</v>
      </c>
      <c r="AI14" s="5" t="str">
        <f t="shared" ref="AI14" si="2">IF(AF14=J14,IF(L14="","-",L14),IF(AF14=M14,IF(O14="","-",O14),IF(R14="","-",R14)))</f>
        <v>-</v>
      </c>
      <c r="AJ14" s="5" t="str">
        <f t="shared" ref="AJ14" si="3">IF(P14="","-",MAX(J14,M14,P14))</f>
        <v>-</v>
      </c>
      <c r="AK14" s="10" t="str">
        <f>IF(AJ14="-","-",IF($BH14="Ib",AJ14*$G14/$H14,IF($BH14="Ir",AJ14*$G14,"OTRO")))</f>
        <v>-</v>
      </c>
      <c r="AL14" s="5" t="s">
        <v>13</v>
      </c>
      <c r="AM14" s="5" t="str">
        <f t="shared" ref="AM14" si="4">IF(AJ14=J14,IF(L14="","-",L14),IF(AJ14=M14,IF(O14="","-",O14),IF(R14="","-",R14)))</f>
        <v>-</v>
      </c>
      <c r="AN14" s="5">
        <f t="shared" ref="AN14" si="5">IF(S14="","-",IF(Y14="",IF(V14="",S14,MIN(S14,V14)),MIN(S14,V14,Y14)))</f>
        <v>0.3</v>
      </c>
      <c r="AO14" s="10">
        <f>IF(AN14="-","-",IF($BC14="Ib",AN14*$G14/$H14,IF($BC14="Ir",AN14*$G14,"OTRO")))</f>
        <v>120</v>
      </c>
      <c r="AP14" s="5" t="s">
        <v>12</v>
      </c>
      <c r="AQ14" s="5">
        <f t="shared" ref="AQ14" si="6">IF(AN14=S14,IF(U14="","-",U14),IF(AN14=V14,IF(X14="","-",X14),IF(AA14="","-",AA14)))</f>
        <v>0.18</v>
      </c>
      <c r="AR14" s="5" t="str">
        <f t="shared" ref="AR14" si="7">IF(V14="","-",IF(Y14="",MAX(V14,S14),IF(S14&lt;AV14,IF(AND(S14&lt;AV14,S14&gt;AN14)=TRUE,S14,IF(AND(V14&lt;AV14,V14&gt;AN14)=TRUE,V14,Y14)))))</f>
        <v>-</v>
      </c>
      <c r="AS14" s="10" t="str">
        <f>IF(AR14="-","-",IF($BD14="Ib",AR14*$G14/$H14,IF($BD14="Ir",AR14*$G14,"OTRO")))</f>
        <v>-</v>
      </c>
      <c r="AT14" s="5" t="s">
        <v>13</v>
      </c>
      <c r="AU14" s="5" t="str">
        <f t="shared" ref="AU14" si="8">IF(AR14=S14,IF(U14="","-",U14),IF(AR14=V14,IF(X14="","-",X14),IF(AA14="","-",AA14)))</f>
        <v>-</v>
      </c>
      <c r="AV14" s="5" t="str">
        <f t="shared" ref="AV14" si="9">IF(Y14="","-",MAX(S14,V14,Y14))</f>
        <v>-</v>
      </c>
      <c r="AW14" s="10" t="str">
        <f>IF(AV14="-","-",IF($BE14="Ib",AV14*$G14/$H14,IF($BE14="Ir",AV14*$G14,"OTRO")))</f>
        <v>-</v>
      </c>
      <c r="AX14" s="5" t="s">
        <v>13</v>
      </c>
      <c r="AY14" s="5" t="str">
        <f t="shared" ref="AY14" si="10">IF(AV14=S14,IF(U14="","-",U14),IF(AV14=V14,IF(X14="","-",X14),IF(AA14="","-",AA14)))</f>
        <v>-</v>
      </c>
      <c r="AZ14" s="5" t="s">
        <v>0</v>
      </c>
      <c r="BA14" s="5" t="s">
        <v>0</v>
      </c>
      <c r="BB14" s="5" t="s">
        <v>0</v>
      </c>
      <c r="BC14" s="5" t="s">
        <v>0</v>
      </c>
      <c r="BD14" s="5" t="s">
        <v>0</v>
      </c>
      <c r="BE14" s="5" t="s">
        <v>0</v>
      </c>
      <c r="BF14" s="5">
        <v>20</v>
      </c>
    </row>
    <row r="15" spans="1:58" ht="12" customHeight="1" x14ac:dyDescent="0.2">
      <c r="A15" s="4" t="s">
        <v>171</v>
      </c>
      <c r="B15" s="4" t="s">
        <v>171</v>
      </c>
      <c r="C15" s="5" t="s">
        <v>172</v>
      </c>
      <c r="D15" s="5"/>
      <c r="E15" s="5" t="s">
        <v>94</v>
      </c>
      <c r="F15" s="5"/>
      <c r="G15" s="5">
        <v>100</v>
      </c>
      <c r="H15" s="5">
        <v>5</v>
      </c>
      <c r="I15" s="5"/>
      <c r="J15" s="5">
        <v>0.8</v>
      </c>
      <c r="K15" s="5" t="s">
        <v>668</v>
      </c>
      <c r="L15" s="5">
        <v>0.18</v>
      </c>
      <c r="M15" s="5"/>
      <c r="N15" s="5"/>
      <c r="O15" s="5"/>
      <c r="P15" s="5"/>
      <c r="Q15" s="5"/>
      <c r="R15" s="5"/>
      <c r="S15" s="5">
        <v>0.25</v>
      </c>
      <c r="T15" s="5" t="s">
        <v>668</v>
      </c>
      <c r="U15" s="5">
        <v>0.18</v>
      </c>
      <c r="V15" s="5"/>
      <c r="W15" s="5"/>
      <c r="X15" s="5"/>
      <c r="Y15" s="5"/>
      <c r="Z15" s="5"/>
      <c r="AA15" s="5"/>
      <c r="AB15" s="5">
        <f t="shared" ref="AB15:AB57" si="11">IF(J15="","-",IF(P15="",IF(M15="",J15,MIN(J15,M15)),MIN(J15,M15,P15)))</f>
        <v>0.8</v>
      </c>
      <c r="AC15" s="10">
        <f t="shared" ref="AC15:AC57" si="12">IF(AB15="-","-",IF(AZ15="Ib",AB15*$G15/$H15,IF(AZ15="Ir",AB15*$G15,"OTRO")))</f>
        <v>80</v>
      </c>
      <c r="AD15" s="5" t="s">
        <v>12</v>
      </c>
      <c r="AE15" s="5">
        <f t="shared" ref="AE15:AE57" si="13">IF(AB15=J15,IF(L15="","-",L15),IF(AB15=M15,IF(O15="","-",O15),IF(R15="","-",R15)))</f>
        <v>0.18</v>
      </c>
      <c r="AF15" s="5" t="str">
        <f t="shared" ref="AF15:AF57" si="14">IF(M15="","-",IF(P15="",MAX(M15,J15),IF(J15&lt;AJ15,IF(AND(J15&lt;AJ15,J15&gt;AB15)=TRUE,J15,IF(AND(M15&lt;AJ15,M15&gt;AB15)=TRUE,M15,P15)))))</f>
        <v>-</v>
      </c>
      <c r="AG15" s="10" t="str">
        <f t="shared" ref="AG15:AG57" si="15">IF(AF15="-","-",IF($BD15="Ib",AF15*$G15/$H15,IF($BD15="Ir",AF15*$G15,"OTRO")))</f>
        <v>-</v>
      </c>
      <c r="AH15" s="5" t="s">
        <v>13</v>
      </c>
      <c r="AI15" s="5" t="str">
        <f t="shared" ref="AI15:AI57" si="16">IF(AF15=J15,IF(L15="","-",L15),IF(AF15=M15,IF(O15="","-",O15),IF(R15="","-",R15)))</f>
        <v>-</v>
      </c>
      <c r="AJ15" s="5" t="str">
        <f t="shared" ref="AJ15:AJ57" si="17">IF(P15="","-",MAX(J15,M15,P15))</f>
        <v>-</v>
      </c>
      <c r="AK15" s="10" t="str">
        <f t="shared" ref="AK15:AK57" si="18">IF(AJ15="-","-",IF($BH15="Ib",AJ15*$G15/$H15,IF($BH15="Ir",AJ15*$G15,"OTRO")))</f>
        <v>-</v>
      </c>
      <c r="AL15" s="5" t="s">
        <v>13</v>
      </c>
      <c r="AM15" s="5" t="str">
        <f t="shared" ref="AM15:AM57" si="19">IF(AJ15=J15,IF(L15="","-",L15),IF(AJ15=M15,IF(O15="","-",O15),IF(R15="","-",R15)))</f>
        <v>-</v>
      </c>
      <c r="AN15" s="5">
        <f t="shared" ref="AN15:AN57" si="20">IF(S15="","-",IF(Y15="",IF(V15="",S15,MIN(S15,V15)),MIN(S15,V15,Y15)))</f>
        <v>0.25</v>
      </c>
      <c r="AO15" s="10">
        <f t="shared" ref="AO15:AO57" si="21">IF(AN15="-","-",IF($BC15="Ib",AN15*$G15/$H15,IF($BC15="Ir",AN15*$G15,"OTRO")))</f>
        <v>25</v>
      </c>
      <c r="AP15" s="5" t="s">
        <v>12</v>
      </c>
      <c r="AQ15" s="5">
        <f t="shared" ref="AQ15:AQ57" si="22">IF(AN15=S15,IF(U15="","-",U15),IF(AN15=V15,IF(X15="","-",X15),IF(AA15="","-",AA15)))</f>
        <v>0.18</v>
      </c>
      <c r="AR15" s="5" t="str">
        <f t="shared" ref="AR15:AR57" si="23">IF(V15="","-",IF(Y15="",MAX(V15,S15),IF(S15&lt;AV15,IF(AND(S15&lt;AV15,S15&gt;AN15)=TRUE,S15,IF(AND(V15&lt;AV15,V15&gt;AN15)=TRUE,V15,Y15)))))</f>
        <v>-</v>
      </c>
      <c r="AS15" s="10" t="str">
        <f t="shared" ref="AS15:AS57" si="24">IF(AR15="-","-",IF($BD15="Ib",AR15*$G15/$H15,IF($BD15="Ir",AR15*$G15,"OTRO")))</f>
        <v>-</v>
      </c>
      <c r="AT15" s="5" t="s">
        <v>13</v>
      </c>
      <c r="AU15" s="5" t="str">
        <f t="shared" ref="AU15:AU57" si="25">IF(AR15=S15,IF(U15="","-",U15),IF(AR15=V15,IF(X15="","-",X15),IF(AA15="","-",AA15)))</f>
        <v>-</v>
      </c>
      <c r="AV15" s="5" t="str">
        <f t="shared" ref="AV15:AV57" si="26">IF(Y15="","-",MAX(S15,V15,Y15))</f>
        <v>-</v>
      </c>
      <c r="AW15" s="10" t="str">
        <f t="shared" ref="AW15:AW57" si="27">IF(AV15="-","-",IF($BE15="Ib",AV15*$G15/$H15,IF($BE15="Ir",AV15*$G15,"OTRO")))</f>
        <v>-</v>
      </c>
      <c r="AX15" s="5" t="s">
        <v>13</v>
      </c>
      <c r="AY15" s="5" t="str">
        <f t="shared" ref="AY15:AY57" si="28">IF(AV15=S15,IF(U15="","-",U15),IF(AV15=V15,IF(X15="","-",X15),IF(AA15="","-",AA15)))</f>
        <v>-</v>
      </c>
      <c r="AZ15" s="5" t="s">
        <v>0</v>
      </c>
      <c r="BA15" s="5" t="s">
        <v>0</v>
      </c>
      <c r="BB15" s="5" t="s">
        <v>0</v>
      </c>
      <c r="BC15" s="5" t="s">
        <v>0</v>
      </c>
      <c r="BD15" s="5" t="s">
        <v>0</v>
      </c>
      <c r="BE15" s="5" t="s">
        <v>0</v>
      </c>
      <c r="BF15" s="5">
        <v>20</v>
      </c>
    </row>
    <row r="16" spans="1:58" ht="12" customHeight="1" x14ac:dyDescent="0.2">
      <c r="A16" s="62" t="s">
        <v>178</v>
      </c>
      <c r="B16" s="4" t="s">
        <v>178</v>
      </c>
      <c r="C16" s="5" t="s">
        <v>172</v>
      </c>
      <c r="D16" s="5"/>
      <c r="E16" s="5" t="s">
        <v>65</v>
      </c>
      <c r="F16" s="5"/>
      <c r="G16" s="5">
        <v>400</v>
      </c>
      <c r="H16" s="5">
        <v>5</v>
      </c>
      <c r="I16" s="5"/>
      <c r="J16" s="5">
        <v>1.1000000000000001</v>
      </c>
      <c r="K16" s="5" t="s">
        <v>667</v>
      </c>
      <c r="L16" s="5">
        <v>0.18</v>
      </c>
      <c r="M16" s="5"/>
      <c r="N16" s="5"/>
      <c r="O16" s="5"/>
      <c r="P16" s="5"/>
      <c r="Q16" s="5"/>
      <c r="R16" s="5"/>
      <c r="S16" s="5">
        <v>0.3</v>
      </c>
      <c r="T16" s="5" t="s">
        <v>667</v>
      </c>
      <c r="U16" s="5">
        <v>0.18</v>
      </c>
      <c r="V16" s="5"/>
      <c r="W16" s="5"/>
      <c r="X16" s="5"/>
      <c r="Y16" s="5"/>
      <c r="Z16" s="5"/>
      <c r="AA16" s="5"/>
      <c r="AB16" s="5">
        <f t="shared" si="11"/>
        <v>1.1000000000000001</v>
      </c>
      <c r="AC16" s="10">
        <f t="shared" si="12"/>
        <v>440.00000000000006</v>
      </c>
      <c r="AD16" s="5" t="s">
        <v>12</v>
      </c>
      <c r="AE16" s="5">
        <f t="shared" si="13"/>
        <v>0.18</v>
      </c>
      <c r="AF16" s="5" t="str">
        <f t="shared" si="14"/>
        <v>-</v>
      </c>
      <c r="AG16" s="10" t="str">
        <f t="shared" si="15"/>
        <v>-</v>
      </c>
      <c r="AH16" s="5" t="s">
        <v>13</v>
      </c>
      <c r="AI16" s="5" t="str">
        <f t="shared" si="16"/>
        <v>-</v>
      </c>
      <c r="AJ16" s="5" t="str">
        <f t="shared" si="17"/>
        <v>-</v>
      </c>
      <c r="AK16" s="10" t="str">
        <f t="shared" si="18"/>
        <v>-</v>
      </c>
      <c r="AL16" s="5" t="s">
        <v>13</v>
      </c>
      <c r="AM16" s="5" t="str">
        <f t="shared" si="19"/>
        <v>-</v>
      </c>
      <c r="AN16" s="5">
        <f t="shared" si="20"/>
        <v>0.3</v>
      </c>
      <c r="AO16" s="10">
        <f t="shared" si="21"/>
        <v>120</v>
      </c>
      <c r="AP16" s="5" t="s">
        <v>12</v>
      </c>
      <c r="AQ16" s="5">
        <f t="shared" si="22"/>
        <v>0.18</v>
      </c>
      <c r="AR16" s="5" t="str">
        <f t="shared" si="23"/>
        <v>-</v>
      </c>
      <c r="AS16" s="10" t="str">
        <f t="shared" si="24"/>
        <v>-</v>
      </c>
      <c r="AT16" s="5" t="s">
        <v>13</v>
      </c>
      <c r="AU16" s="5" t="str">
        <f t="shared" si="25"/>
        <v>-</v>
      </c>
      <c r="AV16" s="5" t="str">
        <f t="shared" si="26"/>
        <v>-</v>
      </c>
      <c r="AW16" s="10" t="str">
        <f t="shared" si="27"/>
        <v>-</v>
      </c>
      <c r="AX16" s="5" t="s">
        <v>13</v>
      </c>
      <c r="AY16" s="5" t="str">
        <f t="shared" si="28"/>
        <v>-</v>
      </c>
      <c r="AZ16" s="5" t="s">
        <v>0</v>
      </c>
      <c r="BA16" s="5" t="s">
        <v>0</v>
      </c>
      <c r="BB16" s="5" t="s">
        <v>0</v>
      </c>
      <c r="BC16" s="5" t="s">
        <v>0</v>
      </c>
      <c r="BD16" s="5" t="s">
        <v>0</v>
      </c>
      <c r="BE16" s="5" t="s">
        <v>0</v>
      </c>
      <c r="BF16" s="5">
        <v>20</v>
      </c>
    </row>
    <row r="17" spans="1:58" ht="12" customHeight="1" x14ac:dyDescent="0.2">
      <c r="A17" s="62" t="s">
        <v>70</v>
      </c>
      <c r="B17" s="4" t="s">
        <v>70</v>
      </c>
      <c r="C17" s="5" t="s">
        <v>181</v>
      </c>
      <c r="D17" s="5"/>
      <c r="E17" s="5" t="s">
        <v>92</v>
      </c>
      <c r="F17" s="5"/>
      <c r="G17" s="5">
        <v>400</v>
      </c>
      <c r="H17" s="5">
        <v>5</v>
      </c>
      <c r="I17" s="5"/>
      <c r="J17" s="5">
        <v>1.1000000000000001</v>
      </c>
      <c r="K17" s="5" t="s">
        <v>667</v>
      </c>
      <c r="L17" s="5">
        <v>0.22</v>
      </c>
      <c r="M17" s="5"/>
      <c r="N17" s="5"/>
      <c r="O17" s="5"/>
      <c r="P17" s="5"/>
      <c r="Q17" s="5"/>
      <c r="R17" s="5"/>
      <c r="S17" s="5">
        <v>0.3</v>
      </c>
      <c r="T17" s="5" t="s">
        <v>667</v>
      </c>
      <c r="U17" s="5">
        <v>0.22</v>
      </c>
      <c r="V17" s="5"/>
      <c r="W17" s="5"/>
      <c r="X17" s="5"/>
      <c r="Y17" s="5"/>
      <c r="Z17" s="5"/>
      <c r="AA17" s="5"/>
      <c r="AB17" s="5">
        <f t="shared" si="11"/>
        <v>1.1000000000000001</v>
      </c>
      <c r="AC17" s="10">
        <f t="shared" si="12"/>
        <v>440.00000000000006</v>
      </c>
      <c r="AD17" s="5" t="s">
        <v>12</v>
      </c>
      <c r="AE17" s="5">
        <f t="shared" si="13"/>
        <v>0.22</v>
      </c>
      <c r="AF17" s="5" t="str">
        <f t="shared" si="14"/>
        <v>-</v>
      </c>
      <c r="AG17" s="10" t="str">
        <f t="shared" si="15"/>
        <v>-</v>
      </c>
      <c r="AH17" s="5" t="s">
        <v>13</v>
      </c>
      <c r="AI17" s="5" t="str">
        <f t="shared" si="16"/>
        <v>-</v>
      </c>
      <c r="AJ17" s="5" t="str">
        <f t="shared" si="17"/>
        <v>-</v>
      </c>
      <c r="AK17" s="10" t="str">
        <f t="shared" si="18"/>
        <v>-</v>
      </c>
      <c r="AL17" s="5" t="s">
        <v>13</v>
      </c>
      <c r="AM17" s="5" t="str">
        <f t="shared" si="19"/>
        <v>-</v>
      </c>
      <c r="AN17" s="5">
        <f t="shared" si="20"/>
        <v>0.3</v>
      </c>
      <c r="AO17" s="10">
        <f t="shared" si="21"/>
        <v>120</v>
      </c>
      <c r="AP17" s="5" t="s">
        <v>12</v>
      </c>
      <c r="AQ17" s="5">
        <f t="shared" si="22"/>
        <v>0.22</v>
      </c>
      <c r="AR17" s="5" t="str">
        <f t="shared" si="23"/>
        <v>-</v>
      </c>
      <c r="AS17" s="10" t="str">
        <f t="shared" si="24"/>
        <v>-</v>
      </c>
      <c r="AT17" s="5" t="s">
        <v>13</v>
      </c>
      <c r="AU17" s="5" t="str">
        <f t="shared" si="25"/>
        <v>-</v>
      </c>
      <c r="AV17" s="5" t="str">
        <f t="shared" si="26"/>
        <v>-</v>
      </c>
      <c r="AW17" s="10" t="str">
        <f t="shared" si="27"/>
        <v>-</v>
      </c>
      <c r="AX17" s="5" t="s">
        <v>13</v>
      </c>
      <c r="AY17" s="5" t="str">
        <f t="shared" si="28"/>
        <v>-</v>
      </c>
      <c r="AZ17" s="5" t="s">
        <v>0</v>
      </c>
      <c r="BA17" s="5" t="s">
        <v>0</v>
      </c>
      <c r="BB17" s="5" t="s">
        <v>0</v>
      </c>
      <c r="BC17" s="5" t="s">
        <v>0</v>
      </c>
      <c r="BD17" s="5" t="s">
        <v>0</v>
      </c>
      <c r="BE17" s="5" t="s">
        <v>0</v>
      </c>
      <c r="BF17" s="5">
        <v>20</v>
      </c>
    </row>
    <row r="18" spans="1:58" ht="12" customHeight="1" x14ac:dyDescent="0.2">
      <c r="A18" s="62" t="s">
        <v>184</v>
      </c>
      <c r="B18" s="4" t="s">
        <v>184</v>
      </c>
      <c r="C18" s="5" t="s">
        <v>164</v>
      </c>
      <c r="D18" s="5"/>
      <c r="E18" s="5" t="s">
        <v>65</v>
      </c>
      <c r="F18" s="5"/>
      <c r="G18" s="5">
        <v>400</v>
      </c>
      <c r="H18" s="5">
        <v>5</v>
      </c>
      <c r="I18" s="5"/>
      <c r="J18" s="5">
        <v>1.1000000000000001</v>
      </c>
      <c r="K18" s="5" t="s">
        <v>668</v>
      </c>
      <c r="L18" s="5">
        <v>0.18</v>
      </c>
      <c r="M18" s="5">
        <v>3</v>
      </c>
      <c r="N18" s="5" t="s">
        <v>668</v>
      </c>
      <c r="O18" s="5">
        <v>0.09</v>
      </c>
      <c r="P18" s="5"/>
      <c r="Q18" s="5"/>
      <c r="R18" s="5"/>
      <c r="S18" s="5">
        <v>0.3</v>
      </c>
      <c r="T18" s="5" t="s">
        <v>668</v>
      </c>
      <c r="U18" s="5">
        <v>0.18</v>
      </c>
      <c r="V18" s="5">
        <v>0.8</v>
      </c>
      <c r="W18" s="5" t="s">
        <v>668</v>
      </c>
      <c r="X18" s="5">
        <v>0.09</v>
      </c>
      <c r="Y18" s="5"/>
      <c r="Z18" s="5"/>
      <c r="AA18" s="5"/>
      <c r="AB18" s="5">
        <f t="shared" si="11"/>
        <v>1.1000000000000001</v>
      </c>
      <c r="AC18" s="10">
        <f t="shared" si="12"/>
        <v>440.00000000000006</v>
      </c>
      <c r="AD18" s="5" t="s">
        <v>12</v>
      </c>
      <c r="AE18" s="5">
        <f t="shared" si="13"/>
        <v>0.18</v>
      </c>
      <c r="AF18" s="5">
        <f t="shared" si="14"/>
        <v>3</v>
      </c>
      <c r="AG18" s="10">
        <f t="shared" si="15"/>
        <v>1200</v>
      </c>
      <c r="AH18" s="5" t="s">
        <v>13</v>
      </c>
      <c r="AI18" s="5">
        <f t="shared" si="16"/>
        <v>0.09</v>
      </c>
      <c r="AJ18" s="5" t="str">
        <f t="shared" si="17"/>
        <v>-</v>
      </c>
      <c r="AK18" s="10" t="str">
        <f t="shared" si="18"/>
        <v>-</v>
      </c>
      <c r="AL18" s="5" t="s">
        <v>13</v>
      </c>
      <c r="AM18" s="5" t="str">
        <f t="shared" si="19"/>
        <v>-</v>
      </c>
      <c r="AN18" s="5">
        <f t="shared" si="20"/>
        <v>0.3</v>
      </c>
      <c r="AO18" s="10">
        <f t="shared" si="21"/>
        <v>120</v>
      </c>
      <c r="AP18" s="5" t="s">
        <v>12</v>
      </c>
      <c r="AQ18" s="5">
        <f t="shared" si="22"/>
        <v>0.18</v>
      </c>
      <c r="AR18" s="5">
        <f t="shared" si="23"/>
        <v>0.8</v>
      </c>
      <c r="AS18" s="10">
        <f t="shared" si="24"/>
        <v>320</v>
      </c>
      <c r="AT18" s="5" t="s">
        <v>13</v>
      </c>
      <c r="AU18" s="5">
        <f t="shared" si="25"/>
        <v>0.09</v>
      </c>
      <c r="AV18" s="5" t="str">
        <f t="shared" si="26"/>
        <v>-</v>
      </c>
      <c r="AW18" s="10" t="str">
        <f t="shared" si="27"/>
        <v>-</v>
      </c>
      <c r="AX18" s="5" t="s">
        <v>13</v>
      </c>
      <c r="AY18" s="5" t="str">
        <f t="shared" si="28"/>
        <v>-</v>
      </c>
      <c r="AZ18" s="5" t="s">
        <v>0</v>
      </c>
      <c r="BA18" s="5" t="s">
        <v>0</v>
      </c>
      <c r="BB18" s="5" t="s">
        <v>0</v>
      </c>
      <c r="BC18" s="5" t="s">
        <v>0</v>
      </c>
      <c r="BD18" s="5" t="s">
        <v>0</v>
      </c>
      <c r="BE18" s="5" t="s">
        <v>0</v>
      </c>
      <c r="BF18" s="5">
        <v>20</v>
      </c>
    </row>
    <row r="19" spans="1:58" ht="12" customHeight="1" x14ac:dyDescent="0.2">
      <c r="A19" s="62"/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 t="str">
        <f t="shared" si="11"/>
        <v>-</v>
      </c>
      <c r="AC19" s="10" t="str">
        <f t="shared" si="12"/>
        <v>-</v>
      </c>
      <c r="AD19" s="5" t="s">
        <v>12</v>
      </c>
      <c r="AE19" s="5" t="str">
        <f t="shared" si="13"/>
        <v>-</v>
      </c>
      <c r="AF19" s="5" t="str">
        <f t="shared" si="14"/>
        <v>-</v>
      </c>
      <c r="AG19" s="10" t="str">
        <f t="shared" si="15"/>
        <v>-</v>
      </c>
      <c r="AH19" s="5" t="s">
        <v>13</v>
      </c>
      <c r="AI19" s="5" t="str">
        <f t="shared" si="16"/>
        <v>-</v>
      </c>
      <c r="AJ19" s="5" t="str">
        <f t="shared" si="17"/>
        <v>-</v>
      </c>
      <c r="AK19" s="10" t="str">
        <f t="shared" si="18"/>
        <v>-</v>
      </c>
      <c r="AL19" s="5" t="s">
        <v>13</v>
      </c>
      <c r="AM19" s="5" t="str">
        <f t="shared" si="19"/>
        <v>-</v>
      </c>
      <c r="AN19" s="5" t="str">
        <f t="shared" si="20"/>
        <v>-</v>
      </c>
      <c r="AO19" s="10" t="str">
        <f t="shared" si="21"/>
        <v>-</v>
      </c>
      <c r="AP19" s="5" t="s">
        <v>12</v>
      </c>
      <c r="AQ19" s="5" t="str">
        <f t="shared" si="22"/>
        <v>-</v>
      </c>
      <c r="AR19" s="5" t="str">
        <f t="shared" si="23"/>
        <v>-</v>
      </c>
      <c r="AS19" s="10" t="str">
        <f t="shared" si="24"/>
        <v>-</v>
      </c>
      <c r="AT19" s="5" t="s">
        <v>13</v>
      </c>
      <c r="AU19" s="5" t="str">
        <f t="shared" si="25"/>
        <v>-</v>
      </c>
      <c r="AV19" s="5" t="str">
        <f t="shared" si="26"/>
        <v>-</v>
      </c>
      <c r="AW19" s="10" t="str">
        <f t="shared" si="27"/>
        <v>-</v>
      </c>
      <c r="AX19" s="5" t="s">
        <v>13</v>
      </c>
      <c r="AY19" s="5" t="str">
        <f t="shared" si="28"/>
        <v>-</v>
      </c>
      <c r="AZ19" s="5" t="s">
        <v>0</v>
      </c>
      <c r="BA19" s="5" t="s">
        <v>0</v>
      </c>
      <c r="BB19" s="5" t="s">
        <v>0</v>
      </c>
      <c r="BC19" s="5" t="s">
        <v>0</v>
      </c>
      <c r="BD19" s="5" t="s">
        <v>0</v>
      </c>
      <c r="BE19" s="5" t="s">
        <v>0</v>
      </c>
      <c r="BF19" s="5">
        <v>20</v>
      </c>
    </row>
    <row r="20" spans="1:58" ht="12" customHeight="1" x14ac:dyDescent="0.2">
      <c r="A20" s="62"/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 t="str">
        <f t="shared" si="11"/>
        <v>-</v>
      </c>
      <c r="AC20" s="10" t="str">
        <f t="shared" si="12"/>
        <v>-</v>
      </c>
      <c r="AD20" s="5" t="s">
        <v>12</v>
      </c>
      <c r="AE20" s="5" t="str">
        <f t="shared" si="13"/>
        <v>-</v>
      </c>
      <c r="AF20" s="5" t="str">
        <f t="shared" si="14"/>
        <v>-</v>
      </c>
      <c r="AG20" s="10" t="str">
        <f t="shared" si="15"/>
        <v>-</v>
      </c>
      <c r="AH20" s="5" t="s">
        <v>13</v>
      </c>
      <c r="AI20" s="5" t="str">
        <f t="shared" si="16"/>
        <v>-</v>
      </c>
      <c r="AJ20" s="5" t="str">
        <f t="shared" si="17"/>
        <v>-</v>
      </c>
      <c r="AK20" s="10" t="str">
        <f t="shared" si="18"/>
        <v>-</v>
      </c>
      <c r="AL20" s="5" t="s">
        <v>13</v>
      </c>
      <c r="AM20" s="5" t="str">
        <f t="shared" si="19"/>
        <v>-</v>
      </c>
      <c r="AN20" s="5" t="str">
        <f t="shared" si="20"/>
        <v>-</v>
      </c>
      <c r="AO20" s="10" t="str">
        <f t="shared" si="21"/>
        <v>-</v>
      </c>
      <c r="AP20" s="5" t="s">
        <v>12</v>
      </c>
      <c r="AQ20" s="5" t="str">
        <f t="shared" si="22"/>
        <v>-</v>
      </c>
      <c r="AR20" s="5" t="str">
        <f t="shared" si="23"/>
        <v>-</v>
      </c>
      <c r="AS20" s="10" t="str">
        <f t="shared" si="24"/>
        <v>-</v>
      </c>
      <c r="AT20" s="5" t="s">
        <v>13</v>
      </c>
      <c r="AU20" s="5" t="str">
        <f t="shared" si="25"/>
        <v>-</v>
      </c>
      <c r="AV20" s="5" t="str">
        <f t="shared" si="26"/>
        <v>-</v>
      </c>
      <c r="AW20" s="10" t="str">
        <f t="shared" si="27"/>
        <v>-</v>
      </c>
      <c r="AX20" s="5" t="s">
        <v>13</v>
      </c>
      <c r="AY20" s="5" t="str">
        <f t="shared" si="28"/>
        <v>-</v>
      </c>
      <c r="AZ20" s="5" t="s">
        <v>0</v>
      </c>
      <c r="BA20" s="5" t="s">
        <v>0</v>
      </c>
      <c r="BB20" s="5" t="s">
        <v>0</v>
      </c>
      <c r="BC20" s="5" t="s">
        <v>0</v>
      </c>
      <c r="BD20" s="5" t="s">
        <v>0</v>
      </c>
      <c r="BE20" s="5" t="s">
        <v>0</v>
      </c>
      <c r="BF20" s="5">
        <v>20</v>
      </c>
    </row>
    <row r="21" spans="1:58" ht="12" customHeight="1" x14ac:dyDescent="0.2">
      <c r="A21" s="62"/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 t="str">
        <f t="shared" si="11"/>
        <v>-</v>
      </c>
      <c r="AC21" s="10" t="str">
        <f t="shared" si="12"/>
        <v>-</v>
      </c>
      <c r="AD21" s="5" t="s">
        <v>12</v>
      </c>
      <c r="AE21" s="5" t="str">
        <f t="shared" si="13"/>
        <v>-</v>
      </c>
      <c r="AF21" s="5" t="str">
        <f t="shared" si="14"/>
        <v>-</v>
      </c>
      <c r="AG21" s="10" t="str">
        <f t="shared" si="15"/>
        <v>-</v>
      </c>
      <c r="AH21" s="5" t="s">
        <v>13</v>
      </c>
      <c r="AI21" s="5" t="str">
        <f t="shared" si="16"/>
        <v>-</v>
      </c>
      <c r="AJ21" s="5" t="str">
        <f t="shared" si="17"/>
        <v>-</v>
      </c>
      <c r="AK21" s="10" t="str">
        <f t="shared" si="18"/>
        <v>-</v>
      </c>
      <c r="AL21" s="5" t="s">
        <v>13</v>
      </c>
      <c r="AM21" s="5" t="str">
        <f t="shared" si="19"/>
        <v>-</v>
      </c>
      <c r="AN21" s="5" t="str">
        <f t="shared" si="20"/>
        <v>-</v>
      </c>
      <c r="AO21" s="10" t="str">
        <f t="shared" si="21"/>
        <v>-</v>
      </c>
      <c r="AP21" s="5" t="s">
        <v>12</v>
      </c>
      <c r="AQ21" s="5" t="str">
        <f t="shared" si="22"/>
        <v>-</v>
      </c>
      <c r="AR21" s="5" t="str">
        <f t="shared" si="23"/>
        <v>-</v>
      </c>
      <c r="AS21" s="10" t="str">
        <f t="shared" si="24"/>
        <v>-</v>
      </c>
      <c r="AT21" s="5" t="s">
        <v>13</v>
      </c>
      <c r="AU21" s="5" t="str">
        <f t="shared" si="25"/>
        <v>-</v>
      </c>
      <c r="AV21" s="5" t="str">
        <f t="shared" si="26"/>
        <v>-</v>
      </c>
      <c r="AW21" s="10" t="str">
        <f t="shared" si="27"/>
        <v>-</v>
      </c>
      <c r="AX21" s="5" t="s">
        <v>13</v>
      </c>
      <c r="AY21" s="5" t="str">
        <f t="shared" si="28"/>
        <v>-</v>
      </c>
      <c r="AZ21" s="5" t="s">
        <v>0</v>
      </c>
      <c r="BA21" s="5" t="s">
        <v>0</v>
      </c>
      <c r="BB21" s="5" t="s">
        <v>0</v>
      </c>
      <c r="BC21" s="5" t="s">
        <v>0</v>
      </c>
      <c r="BD21" s="5" t="s">
        <v>0</v>
      </c>
      <c r="BE21" s="5" t="s">
        <v>0</v>
      </c>
      <c r="BF21" s="5">
        <v>20</v>
      </c>
    </row>
    <row r="22" spans="1:58" s="22" customFormat="1" ht="12" customHeight="1" x14ac:dyDescent="0.2">
      <c r="A22" s="62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 t="str">
        <f t="shared" si="11"/>
        <v>-</v>
      </c>
      <c r="AC22" s="10" t="str">
        <f t="shared" si="12"/>
        <v>-</v>
      </c>
      <c r="AD22" s="5" t="s">
        <v>12</v>
      </c>
      <c r="AE22" s="5" t="str">
        <f t="shared" si="13"/>
        <v>-</v>
      </c>
      <c r="AF22" s="5" t="str">
        <f t="shared" si="14"/>
        <v>-</v>
      </c>
      <c r="AG22" s="10" t="str">
        <f t="shared" si="15"/>
        <v>-</v>
      </c>
      <c r="AH22" s="5" t="s">
        <v>13</v>
      </c>
      <c r="AI22" s="5" t="str">
        <f t="shared" si="16"/>
        <v>-</v>
      </c>
      <c r="AJ22" s="5" t="str">
        <f t="shared" si="17"/>
        <v>-</v>
      </c>
      <c r="AK22" s="10" t="str">
        <f t="shared" si="18"/>
        <v>-</v>
      </c>
      <c r="AL22" s="5" t="s">
        <v>13</v>
      </c>
      <c r="AM22" s="5" t="str">
        <f t="shared" si="19"/>
        <v>-</v>
      </c>
      <c r="AN22" s="5" t="str">
        <f t="shared" si="20"/>
        <v>-</v>
      </c>
      <c r="AO22" s="10" t="str">
        <f t="shared" si="21"/>
        <v>-</v>
      </c>
      <c r="AP22" s="5" t="s">
        <v>12</v>
      </c>
      <c r="AQ22" s="5" t="str">
        <f t="shared" si="22"/>
        <v>-</v>
      </c>
      <c r="AR22" s="5" t="str">
        <f t="shared" si="23"/>
        <v>-</v>
      </c>
      <c r="AS22" s="10" t="str">
        <f t="shared" si="24"/>
        <v>-</v>
      </c>
      <c r="AT22" s="5" t="s">
        <v>13</v>
      </c>
      <c r="AU22" s="5" t="str">
        <f t="shared" si="25"/>
        <v>-</v>
      </c>
      <c r="AV22" s="5" t="str">
        <f t="shared" si="26"/>
        <v>-</v>
      </c>
      <c r="AW22" s="10" t="str">
        <f t="shared" si="27"/>
        <v>-</v>
      </c>
      <c r="AX22" s="5" t="s">
        <v>13</v>
      </c>
      <c r="AY22" s="5" t="str">
        <f t="shared" si="28"/>
        <v>-</v>
      </c>
      <c r="AZ22" s="5" t="s">
        <v>0</v>
      </c>
      <c r="BA22" s="5" t="s">
        <v>0</v>
      </c>
      <c r="BB22" s="5" t="s">
        <v>0</v>
      </c>
      <c r="BC22" s="5" t="s">
        <v>0</v>
      </c>
      <c r="BD22" s="5" t="s">
        <v>0</v>
      </c>
      <c r="BE22" s="5" t="s">
        <v>0</v>
      </c>
      <c r="BF22" s="5">
        <v>20</v>
      </c>
    </row>
    <row r="23" spans="1:58" ht="12" customHeight="1" x14ac:dyDescent="0.2">
      <c r="A23" s="62"/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 t="str">
        <f t="shared" si="11"/>
        <v>-</v>
      </c>
      <c r="AC23" s="10" t="str">
        <f t="shared" si="12"/>
        <v>-</v>
      </c>
      <c r="AD23" s="5" t="s">
        <v>12</v>
      </c>
      <c r="AE23" s="5" t="str">
        <f t="shared" si="13"/>
        <v>-</v>
      </c>
      <c r="AF23" s="5" t="str">
        <f t="shared" si="14"/>
        <v>-</v>
      </c>
      <c r="AG23" s="10" t="str">
        <f t="shared" si="15"/>
        <v>-</v>
      </c>
      <c r="AH23" s="5" t="s">
        <v>13</v>
      </c>
      <c r="AI23" s="5" t="str">
        <f t="shared" si="16"/>
        <v>-</v>
      </c>
      <c r="AJ23" s="5" t="str">
        <f t="shared" si="17"/>
        <v>-</v>
      </c>
      <c r="AK23" s="10" t="str">
        <f t="shared" si="18"/>
        <v>-</v>
      </c>
      <c r="AL23" s="5" t="s">
        <v>13</v>
      </c>
      <c r="AM23" s="5" t="str">
        <f t="shared" si="19"/>
        <v>-</v>
      </c>
      <c r="AN23" s="5" t="str">
        <f t="shared" si="20"/>
        <v>-</v>
      </c>
      <c r="AO23" s="10" t="str">
        <f t="shared" si="21"/>
        <v>-</v>
      </c>
      <c r="AP23" s="5" t="s">
        <v>12</v>
      </c>
      <c r="AQ23" s="5" t="str">
        <f t="shared" si="22"/>
        <v>-</v>
      </c>
      <c r="AR23" s="5" t="str">
        <f t="shared" si="23"/>
        <v>-</v>
      </c>
      <c r="AS23" s="10" t="str">
        <f t="shared" si="24"/>
        <v>-</v>
      </c>
      <c r="AT23" s="5" t="s">
        <v>13</v>
      </c>
      <c r="AU23" s="5" t="str">
        <f t="shared" si="25"/>
        <v>-</v>
      </c>
      <c r="AV23" s="5" t="str">
        <f t="shared" si="26"/>
        <v>-</v>
      </c>
      <c r="AW23" s="10" t="str">
        <f t="shared" si="27"/>
        <v>-</v>
      </c>
      <c r="AX23" s="5" t="s">
        <v>13</v>
      </c>
      <c r="AY23" s="5" t="str">
        <f t="shared" si="28"/>
        <v>-</v>
      </c>
      <c r="AZ23" s="5" t="s">
        <v>0</v>
      </c>
      <c r="BA23" s="5" t="s">
        <v>0</v>
      </c>
      <c r="BB23" s="5" t="s">
        <v>0</v>
      </c>
      <c r="BC23" s="5" t="s">
        <v>0</v>
      </c>
      <c r="BD23" s="5" t="s">
        <v>0</v>
      </c>
      <c r="BE23" s="5" t="s">
        <v>0</v>
      </c>
      <c r="BF23" s="5">
        <v>20</v>
      </c>
    </row>
    <row r="24" spans="1:58" ht="12" customHeight="1" x14ac:dyDescent="0.2">
      <c r="A24" s="62"/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 t="str">
        <f t="shared" si="11"/>
        <v>-</v>
      </c>
      <c r="AC24" s="10" t="str">
        <f t="shared" si="12"/>
        <v>-</v>
      </c>
      <c r="AD24" s="5" t="s">
        <v>12</v>
      </c>
      <c r="AE24" s="5" t="str">
        <f t="shared" si="13"/>
        <v>-</v>
      </c>
      <c r="AF24" s="5" t="str">
        <f t="shared" si="14"/>
        <v>-</v>
      </c>
      <c r="AG24" s="10" t="str">
        <f t="shared" si="15"/>
        <v>-</v>
      </c>
      <c r="AH24" s="5" t="s">
        <v>13</v>
      </c>
      <c r="AI24" s="5" t="str">
        <f t="shared" si="16"/>
        <v>-</v>
      </c>
      <c r="AJ24" s="5" t="str">
        <f t="shared" si="17"/>
        <v>-</v>
      </c>
      <c r="AK24" s="10" t="str">
        <f t="shared" si="18"/>
        <v>-</v>
      </c>
      <c r="AL24" s="5" t="s">
        <v>13</v>
      </c>
      <c r="AM24" s="5" t="str">
        <f t="shared" si="19"/>
        <v>-</v>
      </c>
      <c r="AN24" s="5" t="str">
        <f t="shared" si="20"/>
        <v>-</v>
      </c>
      <c r="AO24" s="10" t="str">
        <f t="shared" si="21"/>
        <v>-</v>
      </c>
      <c r="AP24" s="5" t="s">
        <v>12</v>
      </c>
      <c r="AQ24" s="5" t="str">
        <f t="shared" si="22"/>
        <v>-</v>
      </c>
      <c r="AR24" s="5" t="str">
        <f t="shared" si="23"/>
        <v>-</v>
      </c>
      <c r="AS24" s="10" t="str">
        <f t="shared" si="24"/>
        <v>-</v>
      </c>
      <c r="AT24" s="5" t="s">
        <v>13</v>
      </c>
      <c r="AU24" s="5" t="str">
        <f t="shared" si="25"/>
        <v>-</v>
      </c>
      <c r="AV24" s="5" t="str">
        <f t="shared" si="26"/>
        <v>-</v>
      </c>
      <c r="AW24" s="10" t="str">
        <f t="shared" si="27"/>
        <v>-</v>
      </c>
      <c r="AX24" s="5" t="s">
        <v>13</v>
      </c>
      <c r="AY24" s="5" t="str">
        <f t="shared" si="28"/>
        <v>-</v>
      </c>
      <c r="AZ24" s="5" t="s">
        <v>0</v>
      </c>
      <c r="BA24" s="5" t="s">
        <v>0</v>
      </c>
      <c r="BB24" s="5" t="s">
        <v>0</v>
      </c>
      <c r="BC24" s="5" t="s">
        <v>0</v>
      </c>
      <c r="BD24" s="5" t="s">
        <v>0</v>
      </c>
      <c r="BE24" s="5" t="s">
        <v>0</v>
      </c>
      <c r="BF24" s="5">
        <v>20</v>
      </c>
    </row>
    <row r="25" spans="1:58" ht="12" customHeight="1" x14ac:dyDescent="0.2">
      <c r="A25" s="4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 t="str">
        <f t="shared" si="11"/>
        <v>-</v>
      </c>
      <c r="AC25" s="10" t="str">
        <f t="shared" si="12"/>
        <v>-</v>
      </c>
      <c r="AD25" s="5" t="s">
        <v>12</v>
      </c>
      <c r="AE25" s="5" t="str">
        <f t="shared" si="13"/>
        <v>-</v>
      </c>
      <c r="AF25" s="5" t="str">
        <f t="shared" si="14"/>
        <v>-</v>
      </c>
      <c r="AG25" s="10" t="str">
        <f t="shared" si="15"/>
        <v>-</v>
      </c>
      <c r="AH25" s="5" t="s">
        <v>13</v>
      </c>
      <c r="AI25" s="5" t="str">
        <f t="shared" si="16"/>
        <v>-</v>
      </c>
      <c r="AJ25" s="5" t="str">
        <f t="shared" si="17"/>
        <v>-</v>
      </c>
      <c r="AK25" s="10" t="str">
        <f t="shared" si="18"/>
        <v>-</v>
      </c>
      <c r="AL25" s="5" t="s">
        <v>13</v>
      </c>
      <c r="AM25" s="5" t="str">
        <f t="shared" si="19"/>
        <v>-</v>
      </c>
      <c r="AN25" s="5" t="str">
        <f t="shared" si="20"/>
        <v>-</v>
      </c>
      <c r="AO25" s="10" t="str">
        <f t="shared" si="21"/>
        <v>-</v>
      </c>
      <c r="AP25" s="5" t="s">
        <v>12</v>
      </c>
      <c r="AQ25" s="5" t="str">
        <f t="shared" si="22"/>
        <v>-</v>
      </c>
      <c r="AR25" s="5" t="str">
        <f t="shared" si="23"/>
        <v>-</v>
      </c>
      <c r="AS25" s="10" t="str">
        <f t="shared" si="24"/>
        <v>-</v>
      </c>
      <c r="AT25" s="5" t="s">
        <v>13</v>
      </c>
      <c r="AU25" s="5" t="str">
        <f t="shared" si="25"/>
        <v>-</v>
      </c>
      <c r="AV25" s="5" t="str">
        <f t="shared" si="26"/>
        <v>-</v>
      </c>
      <c r="AW25" s="10" t="str">
        <f t="shared" si="27"/>
        <v>-</v>
      </c>
      <c r="AX25" s="5" t="s">
        <v>13</v>
      </c>
      <c r="AY25" s="5" t="str">
        <f t="shared" si="28"/>
        <v>-</v>
      </c>
      <c r="AZ25" s="5" t="s">
        <v>0</v>
      </c>
      <c r="BA25" s="5" t="s">
        <v>0</v>
      </c>
      <c r="BB25" s="5" t="s">
        <v>0</v>
      </c>
      <c r="BC25" s="5" t="s">
        <v>0</v>
      </c>
      <c r="BD25" s="5" t="s">
        <v>0</v>
      </c>
      <c r="BE25" s="5" t="s">
        <v>0</v>
      </c>
      <c r="BF25" s="5">
        <v>20</v>
      </c>
    </row>
    <row r="26" spans="1:58" ht="12" customHeight="1" x14ac:dyDescent="0.2">
      <c r="A26" s="4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 t="str">
        <f t="shared" si="11"/>
        <v>-</v>
      </c>
      <c r="AC26" s="10" t="str">
        <f t="shared" si="12"/>
        <v>-</v>
      </c>
      <c r="AD26" s="5" t="s">
        <v>12</v>
      </c>
      <c r="AE26" s="5" t="str">
        <f t="shared" si="13"/>
        <v>-</v>
      </c>
      <c r="AF26" s="5" t="str">
        <f t="shared" si="14"/>
        <v>-</v>
      </c>
      <c r="AG26" s="10" t="str">
        <f t="shared" si="15"/>
        <v>-</v>
      </c>
      <c r="AH26" s="5" t="s">
        <v>13</v>
      </c>
      <c r="AI26" s="5" t="str">
        <f t="shared" si="16"/>
        <v>-</v>
      </c>
      <c r="AJ26" s="5" t="str">
        <f t="shared" si="17"/>
        <v>-</v>
      </c>
      <c r="AK26" s="10" t="str">
        <f t="shared" si="18"/>
        <v>-</v>
      </c>
      <c r="AL26" s="5" t="s">
        <v>13</v>
      </c>
      <c r="AM26" s="5" t="str">
        <f t="shared" si="19"/>
        <v>-</v>
      </c>
      <c r="AN26" s="5" t="str">
        <f t="shared" si="20"/>
        <v>-</v>
      </c>
      <c r="AO26" s="10" t="str">
        <f t="shared" si="21"/>
        <v>-</v>
      </c>
      <c r="AP26" s="5" t="s">
        <v>12</v>
      </c>
      <c r="AQ26" s="5" t="str">
        <f t="shared" si="22"/>
        <v>-</v>
      </c>
      <c r="AR26" s="5" t="str">
        <f t="shared" si="23"/>
        <v>-</v>
      </c>
      <c r="AS26" s="10" t="str">
        <f t="shared" si="24"/>
        <v>-</v>
      </c>
      <c r="AT26" s="5" t="s">
        <v>13</v>
      </c>
      <c r="AU26" s="5" t="str">
        <f t="shared" si="25"/>
        <v>-</v>
      </c>
      <c r="AV26" s="5" t="str">
        <f t="shared" si="26"/>
        <v>-</v>
      </c>
      <c r="AW26" s="10" t="str">
        <f t="shared" si="27"/>
        <v>-</v>
      </c>
      <c r="AX26" s="5" t="s">
        <v>13</v>
      </c>
      <c r="AY26" s="5" t="str">
        <f t="shared" si="28"/>
        <v>-</v>
      </c>
      <c r="AZ26" s="5" t="s">
        <v>0</v>
      </c>
      <c r="BA26" s="5" t="s">
        <v>0</v>
      </c>
      <c r="BB26" s="5" t="s">
        <v>0</v>
      </c>
      <c r="BC26" s="5" t="s">
        <v>0</v>
      </c>
      <c r="BD26" s="5" t="s">
        <v>0</v>
      </c>
      <c r="BE26" s="5" t="s">
        <v>0</v>
      </c>
      <c r="BF26" s="5">
        <v>20</v>
      </c>
    </row>
    <row r="27" spans="1:58" ht="12" customHeight="1" x14ac:dyDescent="0.2">
      <c r="A27" s="4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 t="str">
        <f t="shared" si="11"/>
        <v>-</v>
      </c>
      <c r="AC27" s="10" t="str">
        <f t="shared" si="12"/>
        <v>-</v>
      </c>
      <c r="AD27" s="5" t="s">
        <v>12</v>
      </c>
      <c r="AE27" s="5" t="str">
        <f t="shared" si="13"/>
        <v>-</v>
      </c>
      <c r="AF27" s="5" t="str">
        <f t="shared" si="14"/>
        <v>-</v>
      </c>
      <c r="AG27" s="10" t="str">
        <f t="shared" si="15"/>
        <v>-</v>
      </c>
      <c r="AH27" s="5" t="s">
        <v>13</v>
      </c>
      <c r="AI27" s="5" t="str">
        <f t="shared" si="16"/>
        <v>-</v>
      </c>
      <c r="AJ27" s="5" t="str">
        <f t="shared" si="17"/>
        <v>-</v>
      </c>
      <c r="AK27" s="10" t="str">
        <f t="shared" si="18"/>
        <v>-</v>
      </c>
      <c r="AL27" s="5" t="s">
        <v>13</v>
      </c>
      <c r="AM27" s="5" t="str">
        <f t="shared" si="19"/>
        <v>-</v>
      </c>
      <c r="AN27" s="5" t="str">
        <f t="shared" si="20"/>
        <v>-</v>
      </c>
      <c r="AO27" s="10" t="str">
        <f t="shared" si="21"/>
        <v>-</v>
      </c>
      <c r="AP27" s="5" t="s">
        <v>12</v>
      </c>
      <c r="AQ27" s="5" t="str">
        <f t="shared" si="22"/>
        <v>-</v>
      </c>
      <c r="AR27" s="5" t="str">
        <f t="shared" si="23"/>
        <v>-</v>
      </c>
      <c r="AS27" s="10" t="str">
        <f t="shared" si="24"/>
        <v>-</v>
      </c>
      <c r="AT27" s="5" t="s">
        <v>13</v>
      </c>
      <c r="AU27" s="5" t="str">
        <f t="shared" si="25"/>
        <v>-</v>
      </c>
      <c r="AV27" s="5" t="str">
        <f t="shared" si="26"/>
        <v>-</v>
      </c>
      <c r="AW27" s="10" t="str">
        <f t="shared" si="27"/>
        <v>-</v>
      </c>
      <c r="AX27" s="5" t="s">
        <v>13</v>
      </c>
      <c r="AY27" s="5" t="str">
        <f t="shared" si="28"/>
        <v>-</v>
      </c>
      <c r="AZ27" s="5" t="s">
        <v>0</v>
      </c>
      <c r="BA27" s="5" t="s">
        <v>0</v>
      </c>
      <c r="BB27" s="5" t="s">
        <v>0</v>
      </c>
      <c r="BC27" s="5" t="s">
        <v>0</v>
      </c>
      <c r="BD27" s="5" t="s">
        <v>0</v>
      </c>
      <c r="BE27" s="5" t="s">
        <v>0</v>
      </c>
      <c r="BF27" s="5">
        <v>20</v>
      </c>
    </row>
    <row r="28" spans="1:58" ht="12" customHeight="1" x14ac:dyDescent="0.2">
      <c r="A28" s="4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 t="str">
        <f t="shared" si="11"/>
        <v>-</v>
      </c>
      <c r="AC28" s="10" t="str">
        <f t="shared" si="12"/>
        <v>-</v>
      </c>
      <c r="AD28" s="5" t="s">
        <v>12</v>
      </c>
      <c r="AE28" s="5" t="str">
        <f t="shared" si="13"/>
        <v>-</v>
      </c>
      <c r="AF28" s="5" t="str">
        <f t="shared" si="14"/>
        <v>-</v>
      </c>
      <c r="AG28" s="10" t="str">
        <f t="shared" si="15"/>
        <v>-</v>
      </c>
      <c r="AH28" s="5" t="s">
        <v>13</v>
      </c>
      <c r="AI28" s="5" t="str">
        <f t="shared" si="16"/>
        <v>-</v>
      </c>
      <c r="AJ28" s="5" t="str">
        <f t="shared" si="17"/>
        <v>-</v>
      </c>
      <c r="AK28" s="10" t="str">
        <f t="shared" si="18"/>
        <v>-</v>
      </c>
      <c r="AL28" s="5" t="s">
        <v>13</v>
      </c>
      <c r="AM28" s="5" t="str">
        <f t="shared" si="19"/>
        <v>-</v>
      </c>
      <c r="AN28" s="5" t="str">
        <f t="shared" si="20"/>
        <v>-</v>
      </c>
      <c r="AO28" s="10" t="str">
        <f t="shared" si="21"/>
        <v>-</v>
      </c>
      <c r="AP28" s="5" t="s">
        <v>12</v>
      </c>
      <c r="AQ28" s="5" t="str">
        <f t="shared" si="22"/>
        <v>-</v>
      </c>
      <c r="AR28" s="5" t="str">
        <f t="shared" si="23"/>
        <v>-</v>
      </c>
      <c r="AS28" s="10" t="str">
        <f t="shared" si="24"/>
        <v>-</v>
      </c>
      <c r="AT28" s="5" t="s">
        <v>13</v>
      </c>
      <c r="AU28" s="5" t="str">
        <f t="shared" si="25"/>
        <v>-</v>
      </c>
      <c r="AV28" s="5" t="str">
        <f t="shared" si="26"/>
        <v>-</v>
      </c>
      <c r="AW28" s="10" t="str">
        <f t="shared" si="27"/>
        <v>-</v>
      </c>
      <c r="AX28" s="5" t="s">
        <v>13</v>
      </c>
      <c r="AY28" s="5" t="str">
        <f t="shared" si="28"/>
        <v>-</v>
      </c>
      <c r="AZ28" s="5" t="s">
        <v>0</v>
      </c>
      <c r="BA28" s="5" t="s">
        <v>0</v>
      </c>
      <c r="BB28" s="5" t="s">
        <v>0</v>
      </c>
      <c r="BC28" s="5" t="s">
        <v>0</v>
      </c>
      <c r="BD28" s="5" t="s">
        <v>0</v>
      </c>
      <c r="BE28" s="5" t="s">
        <v>0</v>
      </c>
      <c r="BF28" s="5">
        <v>20</v>
      </c>
    </row>
    <row r="29" spans="1:58" ht="12" customHeight="1" x14ac:dyDescent="0.2">
      <c r="A29" s="4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 t="str">
        <f t="shared" si="11"/>
        <v>-</v>
      </c>
      <c r="AC29" s="10" t="str">
        <f t="shared" si="12"/>
        <v>-</v>
      </c>
      <c r="AD29" s="5" t="s">
        <v>12</v>
      </c>
      <c r="AE29" s="5" t="str">
        <f t="shared" si="13"/>
        <v>-</v>
      </c>
      <c r="AF29" s="5" t="str">
        <f t="shared" si="14"/>
        <v>-</v>
      </c>
      <c r="AG29" s="10" t="str">
        <f t="shared" si="15"/>
        <v>-</v>
      </c>
      <c r="AH29" s="5" t="s">
        <v>13</v>
      </c>
      <c r="AI29" s="5" t="str">
        <f t="shared" si="16"/>
        <v>-</v>
      </c>
      <c r="AJ29" s="5" t="str">
        <f t="shared" si="17"/>
        <v>-</v>
      </c>
      <c r="AK29" s="10" t="str">
        <f t="shared" si="18"/>
        <v>-</v>
      </c>
      <c r="AL29" s="5" t="s">
        <v>13</v>
      </c>
      <c r="AM29" s="5" t="str">
        <f t="shared" si="19"/>
        <v>-</v>
      </c>
      <c r="AN29" s="5" t="str">
        <f t="shared" si="20"/>
        <v>-</v>
      </c>
      <c r="AO29" s="10" t="str">
        <f t="shared" si="21"/>
        <v>-</v>
      </c>
      <c r="AP29" s="5" t="s">
        <v>12</v>
      </c>
      <c r="AQ29" s="5" t="str">
        <f t="shared" si="22"/>
        <v>-</v>
      </c>
      <c r="AR29" s="5" t="str">
        <f t="shared" si="23"/>
        <v>-</v>
      </c>
      <c r="AS29" s="10" t="str">
        <f t="shared" si="24"/>
        <v>-</v>
      </c>
      <c r="AT29" s="5" t="s">
        <v>13</v>
      </c>
      <c r="AU29" s="5" t="str">
        <f t="shared" si="25"/>
        <v>-</v>
      </c>
      <c r="AV29" s="5" t="str">
        <f t="shared" si="26"/>
        <v>-</v>
      </c>
      <c r="AW29" s="10" t="str">
        <f t="shared" si="27"/>
        <v>-</v>
      </c>
      <c r="AX29" s="5" t="s">
        <v>13</v>
      </c>
      <c r="AY29" s="5" t="str">
        <f t="shared" si="28"/>
        <v>-</v>
      </c>
      <c r="AZ29" s="5" t="s">
        <v>0</v>
      </c>
      <c r="BA29" s="5" t="s">
        <v>0</v>
      </c>
      <c r="BB29" s="5" t="s">
        <v>0</v>
      </c>
      <c r="BC29" s="5" t="s">
        <v>0</v>
      </c>
      <c r="BD29" s="5" t="s">
        <v>0</v>
      </c>
      <c r="BE29" s="5" t="s">
        <v>0</v>
      </c>
      <c r="BF29" s="5">
        <v>20</v>
      </c>
    </row>
    <row r="30" spans="1:58" ht="12" customHeight="1" x14ac:dyDescent="0.2">
      <c r="A30" s="4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tr">
        <f t="shared" si="11"/>
        <v>-</v>
      </c>
      <c r="AC30" s="10" t="str">
        <f t="shared" si="12"/>
        <v>-</v>
      </c>
      <c r="AD30" s="5" t="s">
        <v>12</v>
      </c>
      <c r="AE30" s="5" t="str">
        <f t="shared" si="13"/>
        <v>-</v>
      </c>
      <c r="AF30" s="5" t="str">
        <f t="shared" si="14"/>
        <v>-</v>
      </c>
      <c r="AG30" s="10" t="str">
        <f t="shared" si="15"/>
        <v>-</v>
      </c>
      <c r="AH30" s="5" t="s">
        <v>13</v>
      </c>
      <c r="AI30" s="5" t="str">
        <f t="shared" si="16"/>
        <v>-</v>
      </c>
      <c r="AJ30" s="5" t="str">
        <f t="shared" si="17"/>
        <v>-</v>
      </c>
      <c r="AK30" s="10" t="str">
        <f t="shared" si="18"/>
        <v>-</v>
      </c>
      <c r="AL30" s="5" t="s">
        <v>13</v>
      </c>
      <c r="AM30" s="5" t="str">
        <f t="shared" si="19"/>
        <v>-</v>
      </c>
      <c r="AN30" s="5" t="str">
        <f t="shared" si="20"/>
        <v>-</v>
      </c>
      <c r="AO30" s="10" t="str">
        <f t="shared" si="21"/>
        <v>-</v>
      </c>
      <c r="AP30" s="5" t="s">
        <v>12</v>
      </c>
      <c r="AQ30" s="5" t="str">
        <f t="shared" si="22"/>
        <v>-</v>
      </c>
      <c r="AR30" s="5" t="str">
        <f t="shared" si="23"/>
        <v>-</v>
      </c>
      <c r="AS30" s="10" t="str">
        <f t="shared" si="24"/>
        <v>-</v>
      </c>
      <c r="AT30" s="5" t="s">
        <v>13</v>
      </c>
      <c r="AU30" s="5" t="str">
        <f t="shared" si="25"/>
        <v>-</v>
      </c>
      <c r="AV30" s="5" t="str">
        <f t="shared" si="26"/>
        <v>-</v>
      </c>
      <c r="AW30" s="10" t="str">
        <f t="shared" si="27"/>
        <v>-</v>
      </c>
      <c r="AX30" s="5" t="s">
        <v>13</v>
      </c>
      <c r="AY30" s="5" t="str">
        <f t="shared" si="28"/>
        <v>-</v>
      </c>
      <c r="AZ30" s="5" t="s">
        <v>0</v>
      </c>
      <c r="BA30" s="5" t="s">
        <v>0</v>
      </c>
      <c r="BB30" s="5" t="s">
        <v>0</v>
      </c>
      <c r="BC30" s="5" t="s">
        <v>0</v>
      </c>
      <c r="BD30" s="5" t="s">
        <v>0</v>
      </c>
      <c r="BE30" s="5" t="s">
        <v>0</v>
      </c>
      <c r="BF30" s="5">
        <v>20</v>
      </c>
    </row>
    <row r="31" spans="1:58" ht="12" customHeight="1" x14ac:dyDescent="0.2">
      <c r="A31" s="4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tr">
        <f t="shared" si="11"/>
        <v>-</v>
      </c>
      <c r="AC31" s="10" t="str">
        <f t="shared" si="12"/>
        <v>-</v>
      </c>
      <c r="AD31" s="5" t="s">
        <v>12</v>
      </c>
      <c r="AE31" s="5" t="str">
        <f t="shared" si="13"/>
        <v>-</v>
      </c>
      <c r="AF31" s="5" t="str">
        <f t="shared" si="14"/>
        <v>-</v>
      </c>
      <c r="AG31" s="10" t="str">
        <f t="shared" si="15"/>
        <v>-</v>
      </c>
      <c r="AH31" s="5" t="s">
        <v>13</v>
      </c>
      <c r="AI31" s="5" t="str">
        <f t="shared" si="16"/>
        <v>-</v>
      </c>
      <c r="AJ31" s="5" t="str">
        <f t="shared" si="17"/>
        <v>-</v>
      </c>
      <c r="AK31" s="10" t="str">
        <f t="shared" si="18"/>
        <v>-</v>
      </c>
      <c r="AL31" s="5" t="s">
        <v>13</v>
      </c>
      <c r="AM31" s="5" t="str">
        <f t="shared" si="19"/>
        <v>-</v>
      </c>
      <c r="AN31" s="5" t="str">
        <f t="shared" si="20"/>
        <v>-</v>
      </c>
      <c r="AO31" s="10" t="str">
        <f t="shared" si="21"/>
        <v>-</v>
      </c>
      <c r="AP31" s="5" t="s">
        <v>12</v>
      </c>
      <c r="AQ31" s="5" t="str">
        <f t="shared" si="22"/>
        <v>-</v>
      </c>
      <c r="AR31" s="5" t="str">
        <f t="shared" si="23"/>
        <v>-</v>
      </c>
      <c r="AS31" s="10" t="str">
        <f t="shared" si="24"/>
        <v>-</v>
      </c>
      <c r="AT31" s="5" t="s">
        <v>13</v>
      </c>
      <c r="AU31" s="5" t="str">
        <f t="shared" si="25"/>
        <v>-</v>
      </c>
      <c r="AV31" s="5" t="str">
        <f t="shared" si="26"/>
        <v>-</v>
      </c>
      <c r="AW31" s="10" t="str">
        <f t="shared" si="27"/>
        <v>-</v>
      </c>
      <c r="AX31" s="5" t="s">
        <v>13</v>
      </c>
      <c r="AY31" s="5" t="str">
        <f t="shared" si="28"/>
        <v>-</v>
      </c>
      <c r="AZ31" s="5" t="s">
        <v>0</v>
      </c>
      <c r="BA31" s="5" t="s">
        <v>0</v>
      </c>
      <c r="BB31" s="5" t="s">
        <v>0</v>
      </c>
      <c r="BC31" s="5" t="s">
        <v>0</v>
      </c>
      <c r="BD31" s="5" t="s">
        <v>0</v>
      </c>
      <c r="BE31" s="5" t="s">
        <v>0</v>
      </c>
      <c r="BF31" s="5">
        <v>20</v>
      </c>
    </row>
    <row r="32" spans="1:58" ht="12" customHeight="1" x14ac:dyDescent="0.2">
      <c r="A32" s="4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 t="str">
        <f t="shared" si="11"/>
        <v>-</v>
      </c>
      <c r="AC32" s="10" t="str">
        <f t="shared" si="12"/>
        <v>-</v>
      </c>
      <c r="AD32" s="5" t="s">
        <v>12</v>
      </c>
      <c r="AE32" s="5" t="str">
        <f t="shared" si="13"/>
        <v>-</v>
      </c>
      <c r="AF32" s="5" t="str">
        <f t="shared" si="14"/>
        <v>-</v>
      </c>
      <c r="AG32" s="10" t="str">
        <f t="shared" si="15"/>
        <v>-</v>
      </c>
      <c r="AH32" s="5" t="s">
        <v>13</v>
      </c>
      <c r="AI32" s="5" t="str">
        <f t="shared" si="16"/>
        <v>-</v>
      </c>
      <c r="AJ32" s="5" t="str">
        <f t="shared" si="17"/>
        <v>-</v>
      </c>
      <c r="AK32" s="10" t="str">
        <f t="shared" si="18"/>
        <v>-</v>
      </c>
      <c r="AL32" s="5" t="s">
        <v>13</v>
      </c>
      <c r="AM32" s="5" t="str">
        <f t="shared" si="19"/>
        <v>-</v>
      </c>
      <c r="AN32" s="5" t="str">
        <f t="shared" si="20"/>
        <v>-</v>
      </c>
      <c r="AO32" s="10" t="str">
        <f t="shared" si="21"/>
        <v>-</v>
      </c>
      <c r="AP32" s="5" t="s">
        <v>12</v>
      </c>
      <c r="AQ32" s="5" t="str">
        <f t="shared" si="22"/>
        <v>-</v>
      </c>
      <c r="AR32" s="5" t="str">
        <f t="shared" si="23"/>
        <v>-</v>
      </c>
      <c r="AS32" s="10" t="str">
        <f t="shared" si="24"/>
        <v>-</v>
      </c>
      <c r="AT32" s="5" t="s">
        <v>13</v>
      </c>
      <c r="AU32" s="5" t="str">
        <f t="shared" si="25"/>
        <v>-</v>
      </c>
      <c r="AV32" s="5" t="str">
        <f t="shared" si="26"/>
        <v>-</v>
      </c>
      <c r="AW32" s="10" t="str">
        <f t="shared" si="27"/>
        <v>-</v>
      </c>
      <c r="AX32" s="5" t="s">
        <v>13</v>
      </c>
      <c r="AY32" s="5" t="str">
        <f t="shared" si="28"/>
        <v>-</v>
      </c>
      <c r="AZ32" s="5" t="s">
        <v>0</v>
      </c>
      <c r="BA32" s="5" t="s">
        <v>0</v>
      </c>
      <c r="BB32" s="5" t="s">
        <v>0</v>
      </c>
      <c r="BC32" s="5" t="s">
        <v>0</v>
      </c>
      <c r="BD32" s="5" t="s">
        <v>0</v>
      </c>
      <c r="BE32" s="5" t="s">
        <v>0</v>
      </c>
      <c r="BF32" s="5">
        <v>20</v>
      </c>
    </row>
    <row r="33" spans="1:58" ht="12" customHeight="1" x14ac:dyDescent="0.2">
      <c r="A33" s="4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 t="str">
        <f t="shared" si="11"/>
        <v>-</v>
      </c>
      <c r="AC33" s="10" t="str">
        <f t="shared" si="12"/>
        <v>-</v>
      </c>
      <c r="AD33" s="5" t="s">
        <v>12</v>
      </c>
      <c r="AE33" s="5" t="str">
        <f t="shared" si="13"/>
        <v>-</v>
      </c>
      <c r="AF33" s="5" t="str">
        <f t="shared" si="14"/>
        <v>-</v>
      </c>
      <c r="AG33" s="10" t="str">
        <f t="shared" si="15"/>
        <v>-</v>
      </c>
      <c r="AH33" s="5" t="s">
        <v>13</v>
      </c>
      <c r="AI33" s="5" t="str">
        <f t="shared" si="16"/>
        <v>-</v>
      </c>
      <c r="AJ33" s="5" t="str">
        <f t="shared" si="17"/>
        <v>-</v>
      </c>
      <c r="AK33" s="10" t="str">
        <f t="shared" si="18"/>
        <v>-</v>
      </c>
      <c r="AL33" s="5" t="s">
        <v>13</v>
      </c>
      <c r="AM33" s="5" t="str">
        <f t="shared" si="19"/>
        <v>-</v>
      </c>
      <c r="AN33" s="5" t="str">
        <f t="shared" si="20"/>
        <v>-</v>
      </c>
      <c r="AO33" s="10" t="str">
        <f t="shared" si="21"/>
        <v>-</v>
      </c>
      <c r="AP33" s="5" t="s">
        <v>12</v>
      </c>
      <c r="AQ33" s="5" t="str">
        <f t="shared" si="22"/>
        <v>-</v>
      </c>
      <c r="AR33" s="5" t="str">
        <f t="shared" si="23"/>
        <v>-</v>
      </c>
      <c r="AS33" s="10" t="str">
        <f t="shared" si="24"/>
        <v>-</v>
      </c>
      <c r="AT33" s="5" t="s">
        <v>13</v>
      </c>
      <c r="AU33" s="5" t="str">
        <f t="shared" si="25"/>
        <v>-</v>
      </c>
      <c r="AV33" s="5" t="str">
        <f t="shared" si="26"/>
        <v>-</v>
      </c>
      <c r="AW33" s="10" t="str">
        <f t="shared" si="27"/>
        <v>-</v>
      </c>
      <c r="AX33" s="5" t="s">
        <v>13</v>
      </c>
      <c r="AY33" s="5" t="str">
        <f t="shared" si="28"/>
        <v>-</v>
      </c>
      <c r="AZ33" s="5" t="s">
        <v>0</v>
      </c>
      <c r="BA33" s="5" t="s">
        <v>0</v>
      </c>
      <c r="BB33" s="5" t="s">
        <v>0</v>
      </c>
      <c r="BC33" s="5" t="s">
        <v>0</v>
      </c>
      <c r="BD33" s="5" t="s">
        <v>0</v>
      </c>
      <c r="BE33" s="5" t="s">
        <v>0</v>
      </c>
      <c r="BF33" s="5">
        <v>20</v>
      </c>
    </row>
    <row r="34" spans="1:58" ht="12" customHeight="1" x14ac:dyDescent="0.2">
      <c r="A34" s="4"/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 t="str">
        <f t="shared" si="11"/>
        <v>-</v>
      </c>
      <c r="AC34" s="10" t="str">
        <f t="shared" si="12"/>
        <v>-</v>
      </c>
      <c r="AD34" s="5" t="s">
        <v>12</v>
      </c>
      <c r="AE34" s="5" t="str">
        <f t="shared" si="13"/>
        <v>-</v>
      </c>
      <c r="AF34" s="5" t="str">
        <f t="shared" si="14"/>
        <v>-</v>
      </c>
      <c r="AG34" s="10" t="str">
        <f t="shared" si="15"/>
        <v>-</v>
      </c>
      <c r="AH34" s="5" t="s">
        <v>13</v>
      </c>
      <c r="AI34" s="5" t="str">
        <f t="shared" si="16"/>
        <v>-</v>
      </c>
      <c r="AJ34" s="5" t="str">
        <f t="shared" si="17"/>
        <v>-</v>
      </c>
      <c r="AK34" s="10" t="str">
        <f t="shared" si="18"/>
        <v>-</v>
      </c>
      <c r="AL34" s="5" t="s">
        <v>13</v>
      </c>
      <c r="AM34" s="5" t="str">
        <f t="shared" si="19"/>
        <v>-</v>
      </c>
      <c r="AN34" s="5" t="str">
        <f t="shared" si="20"/>
        <v>-</v>
      </c>
      <c r="AO34" s="10" t="str">
        <f t="shared" si="21"/>
        <v>-</v>
      </c>
      <c r="AP34" s="5" t="s">
        <v>12</v>
      </c>
      <c r="AQ34" s="5" t="str">
        <f t="shared" si="22"/>
        <v>-</v>
      </c>
      <c r="AR34" s="5" t="str">
        <f t="shared" si="23"/>
        <v>-</v>
      </c>
      <c r="AS34" s="10" t="str">
        <f t="shared" si="24"/>
        <v>-</v>
      </c>
      <c r="AT34" s="5" t="s">
        <v>13</v>
      </c>
      <c r="AU34" s="5" t="str">
        <f t="shared" si="25"/>
        <v>-</v>
      </c>
      <c r="AV34" s="5" t="str">
        <f t="shared" si="26"/>
        <v>-</v>
      </c>
      <c r="AW34" s="10" t="str">
        <f t="shared" si="27"/>
        <v>-</v>
      </c>
      <c r="AX34" s="5" t="s">
        <v>13</v>
      </c>
      <c r="AY34" s="5" t="str">
        <f t="shared" si="28"/>
        <v>-</v>
      </c>
      <c r="AZ34" s="5" t="s">
        <v>0</v>
      </c>
      <c r="BA34" s="5" t="s">
        <v>0</v>
      </c>
      <c r="BB34" s="5" t="s">
        <v>0</v>
      </c>
      <c r="BC34" s="5" t="s">
        <v>0</v>
      </c>
      <c r="BD34" s="5" t="s">
        <v>0</v>
      </c>
      <c r="BE34" s="5" t="s">
        <v>0</v>
      </c>
      <c r="BF34" s="5">
        <v>20</v>
      </c>
    </row>
    <row r="35" spans="1:58" x14ac:dyDescent="0.2">
      <c r="A35" s="4"/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 t="str">
        <f t="shared" si="11"/>
        <v>-</v>
      </c>
      <c r="AC35" s="10" t="str">
        <f t="shared" si="12"/>
        <v>-</v>
      </c>
      <c r="AD35" s="5" t="s">
        <v>12</v>
      </c>
      <c r="AE35" s="5" t="str">
        <f t="shared" si="13"/>
        <v>-</v>
      </c>
      <c r="AF35" s="5" t="str">
        <f t="shared" si="14"/>
        <v>-</v>
      </c>
      <c r="AG35" s="10" t="str">
        <f t="shared" si="15"/>
        <v>-</v>
      </c>
      <c r="AH35" s="5" t="s">
        <v>13</v>
      </c>
      <c r="AI35" s="5" t="str">
        <f t="shared" si="16"/>
        <v>-</v>
      </c>
      <c r="AJ35" s="5" t="str">
        <f t="shared" si="17"/>
        <v>-</v>
      </c>
      <c r="AK35" s="10" t="str">
        <f t="shared" si="18"/>
        <v>-</v>
      </c>
      <c r="AL35" s="5" t="s">
        <v>13</v>
      </c>
      <c r="AM35" s="5" t="str">
        <f t="shared" si="19"/>
        <v>-</v>
      </c>
      <c r="AN35" s="5" t="str">
        <f t="shared" si="20"/>
        <v>-</v>
      </c>
      <c r="AO35" s="10" t="str">
        <f t="shared" si="21"/>
        <v>-</v>
      </c>
      <c r="AP35" s="5" t="s">
        <v>12</v>
      </c>
      <c r="AQ35" s="5" t="str">
        <f t="shared" si="22"/>
        <v>-</v>
      </c>
      <c r="AR35" s="5" t="str">
        <f t="shared" si="23"/>
        <v>-</v>
      </c>
      <c r="AS35" s="10" t="str">
        <f t="shared" si="24"/>
        <v>-</v>
      </c>
      <c r="AT35" s="5" t="s">
        <v>13</v>
      </c>
      <c r="AU35" s="5" t="str">
        <f t="shared" si="25"/>
        <v>-</v>
      </c>
      <c r="AV35" s="5" t="str">
        <f t="shared" si="26"/>
        <v>-</v>
      </c>
      <c r="AW35" s="10" t="str">
        <f t="shared" si="27"/>
        <v>-</v>
      </c>
      <c r="AX35" s="5" t="s">
        <v>13</v>
      </c>
      <c r="AY35" s="5" t="str">
        <f t="shared" si="28"/>
        <v>-</v>
      </c>
      <c r="AZ35" s="5" t="s">
        <v>0</v>
      </c>
      <c r="BA35" s="5" t="s">
        <v>0</v>
      </c>
      <c r="BB35" s="5" t="s">
        <v>0</v>
      </c>
      <c r="BC35" s="5" t="s">
        <v>0</v>
      </c>
      <c r="BD35" s="5" t="s">
        <v>0</v>
      </c>
      <c r="BE35" s="5" t="s">
        <v>0</v>
      </c>
      <c r="BF35" s="5">
        <v>20</v>
      </c>
    </row>
    <row r="36" spans="1:58" x14ac:dyDescent="0.2">
      <c r="A36" s="4"/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 t="str">
        <f t="shared" si="11"/>
        <v>-</v>
      </c>
      <c r="AC36" s="10" t="str">
        <f t="shared" si="12"/>
        <v>-</v>
      </c>
      <c r="AD36" s="5" t="s">
        <v>12</v>
      </c>
      <c r="AE36" s="5" t="str">
        <f t="shared" si="13"/>
        <v>-</v>
      </c>
      <c r="AF36" s="5" t="str">
        <f t="shared" si="14"/>
        <v>-</v>
      </c>
      <c r="AG36" s="10" t="str">
        <f t="shared" si="15"/>
        <v>-</v>
      </c>
      <c r="AH36" s="5" t="s">
        <v>13</v>
      </c>
      <c r="AI36" s="5" t="str">
        <f t="shared" si="16"/>
        <v>-</v>
      </c>
      <c r="AJ36" s="5" t="str">
        <f t="shared" si="17"/>
        <v>-</v>
      </c>
      <c r="AK36" s="10" t="str">
        <f t="shared" si="18"/>
        <v>-</v>
      </c>
      <c r="AL36" s="5" t="s">
        <v>13</v>
      </c>
      <c r="AM36" s="5" t="str">
        <f t="shared" si="19"/>
        <v>-</v>
      </c>
      <c r="AN36" s="5" t="str">
        <f t="shared" si="20"/>
        <v>-</v>
      </c>
      <c r="AO36" s="10" t="str">
        <f t="shared" si="21"/>
        <v>-</v>
      </c>
      <c r="AP36" s="5" t="s">
        <v>12</v>
      </c>
      <c r="AQ36" s="5" t="str">
        <f t="shared" si="22"/>
        <v>-</v>
      </c>
      <c r="AR36" s="5" t="str">
        <f t="shared" si="23"/>
        <v>-</v>
      </c>
      <c r="AS36" s="10" t="str">
        <f t="shared" si="24"/>
        <v>-</v>
      </c>
      <c r="AT36" s="5" t="s">
        <v>13</v>
      </c>
      <c r="AU36" s="5" t="str">
        <f t="shared" si="25"/>
        <v>-</v>
      </c>
      <c r="AV36" s="5" t="str">
        <f t="shared" si="26"/>
        <v>-</v>
      </c>
      <c r="AW36" s="10" t="str">
        <f t="shared" si="27"/>
        <v>-</v>
      </c>
      <c r="AX36" s="5" t="s">
        <v>13</v>
      </c>
      <c r="AY36" s="5" t="str">
        <f t="shared" si="28"/>
        <v>-</v>
      </c>
      <c r="AZ36" s="5" t="s">
        <v>0</v>
      </c>
      <c r="BA36" s="5" t="s">
        <v>0</v>
      </c>
      <c r="BB36" s="5" t="s">
        <v>0</v>
      </c>
      <c r="BC36" s="5" t="s">
        <v>0</v>
      </c>
      <c r="BD36" s="5" t="s">
        <v>0</v>
      </c>
      <c r="BE36" s="5" t="s">
        <v>0</v>
      </c>
      <c r="BF36" s="5">
        <v>20</v>
      </c>
    </row>
    <row r="37" spans="1:58" x14ac:dyDescent="0.2">
      <c r="A37" s="4"/>
      <c r="B37" s="4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 t="str">
        <f t="shared" si="11"/>
        <v>-</v>
      </c>
      <c r="AC37" s="10" t="str">
        <f t="shared" si="12"/>
        <v>-</v>
      </c>
      <c r="AD37" s="5" t="s">
        <v>12</v>
      </c>
      <c r="AE37" s="5" t="str">
        <f t="shared" si="13"/>
        <v>-</v>
      </c>
      <c r="AF37" s="5" t="str">
        <f t="shared" si="14"/>
        <v>-</v>
      </c>
      <c r="AG37" s="10" t="str">
        <f t="shared" si="15"/>
        <v>-</v>
      </c>
      <c r="AH37" s="5" t="s">
        <v>13</v>
      </c>
      <c r="AI37" s="5" t="str">
        <f t="shared" si="16"/>
        <v>-</v>
      </c>
      <c r="AJ37" s="5" t="str">
        <f t="shared" si="17"/>
        <v>-</v>
      </c>
      <c r="AK37" s="10" t="str">
        <f t="shared" si="18"/>
        <v>-</v>
      </c>
      <c r="AL37" s="5" t="s">
        <v>13</v>
      </c>
      <c r="AM37" s="5" t="str">
        <f t="shared" si="19"/>
        <v>-</v>
      </c>
      <c r="AN37" s="5" t="str">
        <f t="shared" si="20"/>
        <v>-</v>
      </c>
      <c r="AO37" s="10" t="str">
        <f t="shared" si="21"/>
        <v>-</v>
      </c>
      <c r="AP37" s="5" t="s">
        <v>12</v>
      </c>
      <c r="AQ37" s="5" t="str">
        <f t="shared" si="22"/>
        <v>-</v>
      </c>
      <c r="AR37" s="5" t="str">
        <f t="shared" si="23"/>
        <v>-</v>
      </c>
      <c r="AS37" s="10" t="str">
        <f t="shared" si="24"/>
        <v>-</v>
      </c>
      <c r="AT37" s="5" t="s">
        <v>13</v>
      </c>
      <c r="AU37" s="5" t="str">
        <f t="shared" si="25"/>
        <v>-</v>
      </c>
      <c r="AV37" s="5" t="str">
        <f t="shared" si="26"/>
        <v>-</v>
      </c>
      <c r="AW37" s="10" t="str">
        <f t="shared" si="27"/>
        <v>-</v>
      </c>
      <c r="AX37" s="5" t="s">
        <v>13</v>
      </c>
      <c r="AY37" s="5" t="str">
        <f t="shared" si="28"/>
        <v>-</v>
      </c>
      <c r="AZ37" s="5" t="s">
        <v>0</v>
      </c>
      <c r="BA37" s="5" t="s">
        <v>0</v>
      </c>
      <c r="BB37" s="5" t="s">
        <v>0</v>
      </c>
      <c r="BC37" s="5" t="s">
        <v>0</v>
      </c>
      <c r="BD37" s="5" t="s">
        <v>0</v>
      </c>
      <c r="BE37" s="5" t="s">
        <v>0</v>
      </c>
      <c r="BF37" s="5">
        <v>20</v>
      </c>
    </row>
    <row r="38" spans="1:58" x14ac:dyDescent="0.2">
      <c r="A38" s="4"/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 t="str">
        <f t="shared" si="11"/>
        <v>-</v>
      </c>
      <c r="AC38" s="10" t="str">
        <f t="shared" si="12"/>
        <v>-</v>
      </c>
      <c r="AD38" s="5" t="s">
        <v>12</v>
      </c>
      <c r="AE38" s="5" t="str">
        <f t="shared" si="13"/>
        <v>-</v>
      </c>
      <c r="AF38" s="5" t="str">
        <f t="shared" si="14"/>
        <v>-</v>
      </c>
      <c r="AG38" s="10" t="str">
        <f t="shared" si="15"/>
        <v>-</v>
      </c>
      <c r="AH38" s="5" t="s">
        <v>13</v>
      </c>
      <c r="AI38" s="5" t="str">
        <f t="shared" si="16"/>
        <v>-</v>
      </c>
      <c r="AJ38" s="5" t="str">
        <f t="shared" si="17"/>
        <v>-</v>
      </c>
      <c r="AK38" s="10" t="str">
        <f t="shared" si="18"/>
        <v>-</v>
      </c>
      <c r="AL38" s="5" t="s">
        <v>13</v>
      </c>
      <c r="AM38" s="5" t="str">
        <f t="shared" si="19"/>
        <v>-</v>
      </c>
      <c r="AN38" s="5" t="str">
        <f t="shared" si="20"/>
        <v>-</v>
      </c>
      <c r="AO38" s="10" t="str">
        <f t="shared" si="21"/>
        <v>-</v>
      </c>
      <c r="AP38" s="5" t="s">
        <v>12</v>
      </c>
      <c r="AQ38" s="5" t="str">
        <f t="shared" si="22"/>
        <v>-</v>
      </c>
      <c r="AR38" s="5" t="str">
        <f t="shared" si="23"/>
        <v>-</v>
      </c>
      <c r="AS38" s="10" t="str">
        <f t="shared" si="24"/>
        <v>-</v>
      </c>
      <c r="AT38" s="5" t="s">
        <v>13</v>
      </c>
      <c r="AU38" s="5" t="str">
        <f t="shared" si="25"/>
        <v>-</v>
      </c>
      <c r="AV38" s="5" t="str">
        <f t="shared" si="26"/>
        <v>-</v>
      </c>
      <c r="AW38" s="10" t="str">
        <f t="shared" si="27"/>
        <v>-</v>
      </c>
      <c r="AX38" s="5" t="s">
        <v>13</v>
      </c>
      <c r="AY38" s="5" t="str">
        <f t="shared" si="28"/>
        <v>-</v>
      </c>
      <c r="AZ38" s="5" t="s">
        <v>0</v>
      </c>
      <c r="BA38" s="5" t="s">
        <v>0</v>
      </c>
      <c r="BB38" s="5" t="s">
        <v>0</v>
      </c>
      <c r="BC38" s="5" t="s">
        <v>0</v>
      </c>
      <c r="BD38" s="5" t="s">
        <v>0</v>
      </c>
      <c r="BE38" s="5" t="s">
        <v>0</v>
      </c>
      <c r="BF38" s="5">
        <v>20</v>
      </c>
    </row>
    <row r="39" spans="1:58" x14ac:dyDescent="0.2">
      <c r="A39" s="4"/>
      <c r="B39" s="4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 t="str">
        <f t="shared" si="11"/>
        <v>-</v>
      </c>
      <c r="AC39" s="10" t="str">
        <f t="shared" si="12"/>
        <v>-</v>
      </c>
      <c r="AD39" s="5" t="s">
        <v>12</v>
      </c>
      <c r="AE39" s="5" t="str">
        <f t="shared" si="13"/>
        <v>-</v>
      </c>
      <c r="AF39" s="5" t="str">
        <f t="shared" si="14"/>
        <v>-</v>
      </c>
      <c r="AG39" s="10" t="str">
        <f t="shared" si="15"/>
        <v>-</v>
      </c>
      <c r="AH39" s="5" t="s">
        <v>13</v>
      </c>
      <c r="AI39" s="5" t="str">
        <f t="shared" si="16"/>
        <v>-</v>
      </c>
      <c r="AJ39" s="5" t="str">
        <f t="shared" si="17"/>
        <v>-</v>
      </c>
      <c r="AK39" s="10" t="str">
        <f t="shared" si="18"/>
        <v>-</v>
      </c>
      <c r="AL39" s="5" t="s">
        <v>13</v>
      </c>
      <c r="AM39" s="5" t="str">
        <f t="shared" si="19"/>
        <v>-</v>
      </c>
      <c r="AN39" s="5" t="str">
        <f t="shared" si="20"/>
        <v>-</v>
      </c>
      <c r="AO39" s="10" t="str">
        <f t="shared" si="21"/>
        <v>-</v>
      </c>
      <c r="AP39" s="5" t="s">
        <v>12</v>
      </c>
      <c r="AQ39" s="5" t="str">
        <f t="shared" si="22"/>
        <v>-</v>
      </c>
      <c r="AR39" s="5" t="str">
        <f t="shared" si="23"/>
        <v>-</v>
      </c>
      <c r="AS39" s="10" t="str">
        <f t="shared" si="24"/>
        <v>-</v>
      </c>
      <c r="AT39" s="5" t="s">
        <v>13</v>
      </c>
      <c r="AU39" s="5" t="str">
        <f t="shared" si="25"/>
        <v>-</v>
      </c>
      <c r="AV39" s="5" t="str">
        <f t="shared" si="26"/>
        <v>-</v>
      </c>
      <c r="AW39" s="10" t="str">
        <f t="shared" si="27"/>
        <v>-</v>
      </c>
      <c r="AX39" s="5" t="s">
        <v>13</v>
      </c>
      <c r="AY39" s="5" t="str">
        <f t="shared" si="28"/>
        <v>-</v>
      </c>
      <c r="AZ39" s="5" t="s">
        <v>0</v>
      </c>
      <c r="BA39" s="5" t="s">
        <v>0</v>
      </c>
      <c r="BB39" s="5" t="s">
        <v>0</v>
      </c>
      <c r="BC39" s="5" t="s">
        <v>0</v>
      </c>
      <c r="BD39" s="5" t="s">
        <v>0</v>
      </c>
      <c r="BE39" s="5" t="s">
        <v>0</v>
      </c>
      <c r="BF39" s="5">
        <v>20</v>
      </c>
    </row>
    <row r="40" spans="1:58" x14ac:dyDescent="0.2">
      <c r="A40" s="4"/>
      <c r="B40" s="4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 t="str">
        <f t="shared" si="11"/>
        <v>-</v>
      </c>
      <c r="AC40" s="10" t="str">
        <f t="shared" si="12"/>
        <v>-</v>
      </c>
      <c r="AD40" s="5" t="s">
        <v>12</v>
      </c>
      <c r="AE40" s="5" t="str">
        <f t="shared" si="13"/>
        <v>-</v>
      </c>
      <c r="AF40" s="5" t="str">
        <f t="shared" si="14"/>
        <v>-</v>
      </c>
      <c r="AG40" s="10" t="str">
        <f t="shared" si="15"/>
        <v>-</v>
      </c>
      <c r="AH40" s="5" t="s">
        <v>13</v>
      </c>
      <c r="AI40" s="5" t="str">
        <f t="shared" si="16"/>
        <v>-</v>
      </c>
      <c r="AJ40" s="5" t="str">
        <f t="shared" si="17"/>
        <v>-</v>
      </c>
      <c r="AK40" s="10" t="str">
        <f t="shared" si="18"/>
        <v>-</v>
      </c>
      <c r="AL40" s="5" t="s">
        <v>13</v>
      </c>
      <c r="AM40" s="5" t="str">
        <f t="shared" si="19"/>
        <v>-</v>
      </c>
      <c r="AN40" s="5" t="str">
        <f t="shared" si="20"/>
        <v>-</v>
      </c>
      <c r="AO40" s="10" t="str">
        <f t="shared" si="21"/>
        <v>-</v>
      </c>
      <c r="AP40" s="5" t="s">
        <v>12</v>
      </c>
      <c r="AQ40" s="5" t="str">
        <f t="shared" si="22"/>
        <v>-</v>
      </c>
      <c r="AR40" s="5" t="str">
        <f t="shared" si="23"/>
        <v>-</v>
      </c>
      <c r="AS40" s="10" t="str">
        <f t="shared" si="24"/>
        <v>-</v>
      </c>
      <c r="AT40" s="5" t="s">
        <v>13</v>
      </c>
      <c r="AU40" s="5" t="str">
        <f t="shared" si="25"/>
        <v>-</v>
      </c>
      <c r="AV40" s="5" t="str">
        <f t="shared" si="26"/>
        <v>-</v>
      </c>
      <c r="AW40" s="10" t="str">
        <f t="shared" si="27"/>
        <v>-</v>
      </c>
      <c r="AX40" s="5" t="s">
        <v>13</v>
      </c>
      <c r="AY40" s="5" t="str">
        <f t="shared" si="28"/>
        <v>-</v>
      </c>
      <c r="AZ40" s="5" t="s">
        <v>0</v>
      </c>
      <c r="BA40" s="5" t="s">
        <v>0</v>
      </c>
      <c r="BB40" s="5" t="s">
        <v>0</v>
      </c>
      <c r="BC40" s="5" t="s">
        <v>0</v>
      </c>
      <c r="BD40" s="5" t="s">
        <v>0</v>
      </c>
      <c r="BE40" s="5" t="s">
        <v>0</v>
      </c>
      <c r="BF40" s="5">
        <v>20</v>
      </c>
    </row>
    <row r="41" spans="1:58" x14ac:dyDescent="0.2">
      <c r="A41" s="4"/>
      <c r="B41" s="4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 t="str">
        <f t="shared" si="11"/>
        <v>-</v>
      </c>
      <c r="AC41" s="10" t="str">
        <f t="shared" si="12"/>
        <v>-</v>
      </c>
      <c r="AD41" s="5" t="s">
        <v>12</v>
      </c>
      <c r="AE41" s="5" t="str">
        <f t="shared" si="13"/>
        <v>-</v>
      </c>
      <c r="AF41" s="5" t="str">
        <f t="shared" si="14"/>
        <v>-</v>
      </c>
      <c r="AG41" s="10" t="str">
        <f t="shared" si="15"/>
        <v>-</v>
      </c>
      <c r="AH41" s="5" t="s">
        <v>13</v>
      </c>
      <c r="AI41" s="5" t="str">
        <f t="shared" si="16"/>
        <v>-</v>
      </c>
      <c r="AJ41" s="5" t="str">
        <f t="shared" si="17"/>
        <v>-</v>
      </c>
      <c r="AK41" s="10" t="str">
        <f t="shared" si="18"/>
        <v>-</v>
      </c>
      <c r="AL41" s="5" t="s">
        <v>13</v>
      </c>
      <c r="AM41" s="5" t="str">
        <f t="shared" si="19"/>
        <v>-</v>
      </c>
      <c r="AN41" s="5" t="str">
        <f t="shared" si="20"/>
        <v>-</v>
      </c>
      <c r="AO41" s="10" t="str">
        <f t="shared" si="21"/>
        <v>-</v>
      </c>
      <c r="AP41" s="5" t="s">
        <v>12</v>
      </c>
      <c r="AQ41" s="5" t="str">
        <f t="shared" si="22"/>
        <v>-</v>
      </c>
      <c r="AR41" s="5" t="str">
        <f t="shared" si="23"/>
        <v>-</v>
      </c>
      <c r="AS41" s="10" t="str">
        <f t="shared" si="24"/>
        <v>-</v>
      </c>
      <c r="AT41" s="5" t="s">
        <v>13</v>
      </c>
      <c r="AU41" s="5" t="str">
        <f t="shared" si="25"/>
        <v>-</v>
      </c>
      <c r="AV41" s="5" t="str">
        <f t="shared" si="26"/>
        <v>-</v>
      </c>
      <c r="AW41" s="10" t="str">
        <f t="shared" si="27"/>
        <v>-</v>
      </c>
      <c r="AX41" s="5" t="s">
        <v>13</v>
      </c>
      <c r="AY41" s="5" t="str">
        <f t="shared" si="28"/>
        <v>-</v>
      </c>
      <c r="AZ41" s="5" t="s">
        <v>0</v>
      </c>
      <c r="BA41" s="5" t="s">
        <v>0</v>
      </c>
      <c r="BB41" s="5" t="s">
        <v>0</v>
      </c>
      <c r="BC41" s="5" t="s">
        <v>0</v>
      </c>
      <c r="BD41" s="5" t="s">
        <v>0</v>
      </c>
      <c r="BE41" s="5" t="s">
        <v>0</v>
      </c>
      <c r="BF41" s="5">
        <v>20</v>
      </c>
    </row>
    <row r="42" spans="1:58" x14ac:dyDescent="0.2">
      <c r="A42" s="4"/>
      <c r="B42" s="4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 t="str">
        <f t="shared" si="11"/>
        <v>-</v>
      </c>
      <c r="AC42" s="10" t="str">
        <f t="shared" si="12"/>
        <v>-</v>
      </c>
      <c r="AD42" s="5" t="s">
        <v>12</v>
      </c>
      <c r="AE42" s="5" t="str">
        <f t="shared" si="13"/>
        <v>-</v>
      </c>
      <c r="AF42" s="5" t="str">
        <f t="shared" si="14"/>
        <v>-</v>
      </c>
      <c r="AG42" s="10" t="str">
        <f t="shared" si="15"/>
        <v>-</v>
      </c>
      <c r="AH42" s="5" t="s">
        <v>13</v>
      </c>
      <c r="AI42" s="5" t="str">
        <f t="shared" si="16"/>
        <v>-</v>
      </c>
      <c r="AJ42" s="5" t="str">
        <f t="shared" si="17"/>
        <v>-</v>
      </c>
      <c r="AK42" s="10" t="str">
        <f t="shared" si="18"/>
        <v>-</v>
      </c>
      <c r="AL42" s="5" t="s">
        <v>13</v>
      </c>
      <c r="AM42" s="5" t="str">
        <f t="shared" si="19"/>
        <v>-</v>
      </c>
      <c r="AN42" s="5" t="str">
        <f t="shared" si="20"/>
        <v>-</v>
      </c>
      <c r="AO42" s="10" t="str">
        <f t="shared" si="21"/>
        <v>-</v>
      </c>
      <c r="AP42" s="5" t="s">
        <v>12</v>
      </c>
      <c r="AQ42" s="5" t="str">
        <f t="shared" si="22"/>
        <v>-</v>
      </c>
      <c r="AR42" s="5" t="str">
        <f t="shared" si="23"/>
        <v>-</v>
      </c>
      <c r="AS42" s="10" t="str">
        <f t="shared" si="24"/>
        <v>-</v>
      </c>
      <c r="AT42" s="5" t="s">
        <v>13</v>
      </c>
      <c r="AU42" s="5" t="str">
        <f t="shared" si="25"/>
        <v>-</v>
      </c>
      <c r="AV42" s="5" t="str">
        <f t="shared" si="26"/>
        <v>-</v>
      </c>
      <c r="AW42" s="10" t="str">
        <f t="shared" si="27"/>
        <v>-</v>
      </c>
      <c r="AX42" s="5" t="s">
        <v>13</v>
      </c>
      <c r="AY42" s="5" t="str">
        <f t="shared" si="28"/>
        <v>-</v>
      </c>
      <c r="AZ42" s="5" t="s">
        <v>0</v>
      </c>
      <c r="BA42" s="5" t="s">
        <v>0</v>
      </c>
      <c r="BB42" s="5" t="s">
        <v>0</v>
      </c>
      <c r="BC42" s="5" t="s">
        <v>0</v>
      </c>
      <c r="BD42" s="5" t="s">
        <v>0</v>
      </c>
      <c r="BE42" s="5" t="s">
        <v>0</v>
      </c>
      <c r="BF42" s="5">
        <v>20</v>
      </c>
    </row>
    <row r="43" spans="1:58" x14ac:dyDescent="0.2">
      <c r="A43" s="4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 t="str">
        <f t="shared" si="11"/>
        <v>-</v>
      </c>
      <c r="AC43" s="10" t="str">
        <f t="shared" si="12"/>
        <v>-</v>
      </c>
      <c r="AD43" s="5" t="s">
        <v>12</v>
      </c>
      <c r="AE43" s="5" t="str">
        <f t="shared" si="13"/>
        <v>-</v>
      </c>
      <c r="AF43" s="5" t="str">
        <f t="shared" si="14"/>
        <v>-</v>
      </c>
      <c r="AG43" s="10" t="str">
        <f t="shared" si="15"/>
        <v>-</v>
      </c>
      <c r="AH43" s="5" t="s">
        <v>13</v>
      </c>
      <c r="AI43" s="5" t="str">
        <f t="shared" si="16"/>
        <v>-</v>
      </c>
      <c r="AJ43" s="5" t="str">
        <f t="shared" si="17"/>
        <v>-</v>
      </c>
      <c r="AK43" s="10" t="str">
        <f t="shared" si="18"/>
        <v>-</v>
      </c>
      <c r="AL43" s="5" t="s">
        <v>13</v>
      </c>
      <c r="AM43" s="5" t="str">
        <f t="shared" si="19"/>
        <v>-</v>
      </c>
      <c r="AN43" s="5" t="str">
        <f t="shared" si="20"/>
        <v>-</v>
      </c>
      <c r="AO43" s="10" t="str">
        <f t="shared" si="21"/>
        <v>-</v>
      </c>
      <c r="AP43" s="5" t="s">
        <v>12</v>
      </c>
      <c r="AQ43" s="5" t="str">
        <f t="shared" si="22"/>
        <v>-</v>
      </c>
      <c r="AR43" s="5" t="str">
        <f t="shared" si="23"/>
        <v>-</v>
      </c>
      <c r="AS43" s="10" t="str">
        <f t="shared" si="24"/>
        <v>-</v>
      </c>
      <c r="AT43" s="5" t="s">
        <v>13</v>
      </c>
      <c r="AU43" s="5" t="str">
        <f t="shared" si="25"/>
        <v>-</v>
      </c>
      <c r="AV43" s="5" t="str">
        <f t="shared" si="26"/>
        <v>-</v>
      </c>
      <c r="AW43" s="10" t="str">
        <f t="shared" si="27"/>
        <v>-</v>
      </c>
      <c r="AX43" s="5" t="s">
        <v>13</v>
      </c>
      <c r="AY43" s="5" t="str">
        <f t="shared" si="28"/>
        <v>-</v>
      </c>
      <c r="AZ43" s="5" t="s">
        <v>0</v>
      </c>
      <c r="BA43" s="5" t="s">
        <v>0</v>
      </c>
      <c r="BB43" s="5" t="s">
        <v>0</v>
      </c>
      <c r="BC43" s="5" t="s">
        <v>0</v>
      </c>
      <c r="BD43" s="5" t="s">
        <v>0</v>
      </c>
      <c r="BE43" s="5" t="s">
        <v>0</v>
      </c>
      <c r="BF43" s="5">
        <v>20</v>
      </c>
    </row>
    <row r="44" spans="1:58" x14ac:dyDescent="0.2">
      <c r="A44" s="4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 t="str">
        <f t="shared" si="11"/>
        <v>-</v>
      </c>
      <c r="AC44" s="10" t="str">
        <f t="shared" si="12"/>
        <v>-</v>
      </c>
      <c r="AD44" s="5" t="s">
        <v>12</v>
      </c>
      <c r="AE44" s="5" t="str">
        <f t="shared" si="13"/>
        <v>-</v>
      </c>
      <c r="AF44" s="5" t="str">
        <f t="shared" si="14"/>
        <v>-</v>
      </c>
      <c r="AG44" s="10" t="str">
        <f t="shared" si="15"/>
        <v>-</v>
      </c>
      <c r="AH44" s="5" t="s">
        <v>13</v>
      </c>
      <c r="AI44" s="5" t="str">
        <f t="shared" si="16"/>
        <v>-</v>
      </c>
      <c r="AJ44" s="5" t="str">
        <f t="shared" si="17"/>
        <v>-</v>
      </c>
      <c r="AK44" s="10" t="str">
        <f t="shared" si="18"/>
        <v>-</v>
      </c>
      <c r="AL44" s="5" t="s">
        <v>13</v>
      </c>
      <c r="AM44" s="5" t="str">
        <f t="shared" si="19"/>
        <v>-</v>
      </c>
      <c r="AN44" s="5" t="str">
        <f t="shared" si="20"/>
        <v>-</v>
      </c>
      <c r="AO44" s="10" t="str">
        <f t="shared" si="21"/>
        <v>-</v>
      </c>
      <c r="AP44" s="5" t="s">
        <v>12</v>
      </c>
      <c r="AQ44" s="5" t="str">
        <f t="shared" si="22"/>
        <v>-</v>
      </c>
      <c r="AR44" s="5" t="str">
        <f t="shared" si="23"/>
        <v>-</v>
      </c>
      <c r="AS44" s="10" t="str">
        <f t="shared" si="24"/>
        <v>-</v>
      </c>
      <c r="AT44" s="5" t="s">
        <v>13</v>
      </c>
      <c r="AU44" s="5" t="str">
        <f t="shared" si="25"/>
        <v>-</v>
      </c>
      <c r="AV44" s="5" t="str">
        <f t="shared" si="26"/>
        <v>-</v>
      </c>
      <c r="AW44" s="10" t="str">
        <f t="shared" si="27"/>
        <v>-</v>
      </c>
      <c r="AX44" s="5" t="s">
        <v>13</v>
      </c>
      <c r="AY44" s="5" t="str">
        <f t="shared" si="28"/>
        <v>-</v>
      </c>
      <c r="AZ44" s="5" t="s">
        <v>0</v>
      </c>
      <c r="BA44" s="5" t="s">
        <v>0</v>
      </c>
      <c r="BB44" s="5" t="s">
        <v>0</v>
      </c>
      <c r="BC44" s="5" t="s">
        <v>0</v>
      </c>
      <c r="BD44" s="5" t="s">
        <v>0</v>
      </c>
      <c r="BE44" s="5" t="s">
        <v>0</v>
      </c>
      <c r="BF44" s="5">
        <v>20</v>
      </c>
    </row>
    <row r="45" spans="1:58" x14ac:dyDescent="0.2">
      <c r="A45" s="4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 t="str">
        <f t="shared" si="11"/>
        <v>-</v>
      </c>
      <c r="AC45" s="10" t="str">
        <f t="shared" si="12"/>
        <v>-</v>
      </c>
      <c r="AD45" s="5" t="s">
        <v>12</v>
      </c>
      <c r="AE45" s="5" t="str">
        <f t="shared" si="13"/>
        <v>-</v>
      </c>
      <c r="AF45" s="5" t="str">
        <f t="shared" si="14"/>
        <v>-</v>
      </c>
      <c r="AG45" s="10" t="str">
        <f t="shared" si="15"/>
        <v>-</v>
      </c>
      <c r="AH45" s="5" t="s">
        <v>13</v>
      </c>
      <c r="AI45" s="5" t="str">
        <f t="shared" si="16"/>
        <v>-</v>
      </c>
      <c r="AJ45" s="5" t="str">
        <f t="shared" si="17"/>
        <v>-</v>
      </c>
      <c r="AK45" s="10" t="str">
        <f t="shared" si="18"/>
        <v>-</v>
      </c>
      <c r="AL45" s="5" t="s">
        <v>13</v>
      </c>
      <c r="AM45" s="5" t="str">
        <f t="shared" si="19"/>
        <v>-</v>
      </c>
      <c r="AN45" s="5" t="str">
        <f t="shared" si="20"/>
        <v>-</v>
      </c>
      <c r="AO45" s="10" t="str">
        <f t="shared" si="21"/>
        <v>-</v>
      </c>
      <c r="AP45" s="5" t="s">
        <v>12</v>
      </c>
      <c r="AQ45" s="5" t="str">
        <f t="shared" si="22"/>
        <v>-</v>
      </c>
      <c r="AR45" s="5" t="str">
        <f t="shared" si="23"/>
        <v>-</v>
      </c>
      <c r="AS45" s="10" t="str">
        <f t="shared" si="24"/>
        <v>-</v>
      </c>
      <c r="AT45" s="5" t="s">
        <v>13</v>
      </c>
      <c r="AU45" s="5" t="str">
        <f t="shared" si="25"/>
        <v>-</v>
      </c>
      <c r="AV45" s="5" t="str">
        <f t="shared" si="26"/>
        <v>-</v>
      </c>
      <c r="AW45" s="10" t="str">
        <f t="shared" si="27"/>
        <v>-</v>
      </c>
      <c r="AX45" s="5" t="s">
        <v>13</v>
      </c>
      <c r="AY45" s="5" t="str">
        <f t="shared" si="28"/>
        <v>-</v>
      </c>
      <c r="AZ45" s="5" t="s">
        <v>0</v>
      </c>
      <c r="BA45" s="5" t="s">
        <v>0</v>
      </c>
      <c r="BB45" s="5" t="s">
        <v>0</v>
      </c>
      <c r="BC45" s="5" t="s">
        <v>0</v>
      </c>
      <c r="BD45" s="5" t="s">
        <v>0</v>
      </c>
      <c r="BE45" s="5" t="s">
        <v>0</v>
      </c>
      <c r="BF45" s="5">
        <v>20</v>
      </c>
    </row>
    <row r="46" spans="1:58" x14ac:dyDescent="0.2">
      <c r="A46" s="4"/>
      <c r="B46" s="4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 t="str">
        <f t="shared" si="11"/>
        <v>-</v>
      </c>
      <c r="AC46" s="10" t="str">
        <f t="shared" si="12"/>
        <v>-</v>
      </c>
      <c r="AD46" s="5" t="s">
        <v>12</v>
      </c>
      <c r="AE46" s="5" t="str">
        <f t="shared" si="13"/>
        <v>-</v>
      </c>
      <c r="AF46" s="5" t="str">
        <f t="shared" si="14"/>
        <v>-</v>
      </c>
      <c r="AG46" s="10" t="str">
        <f t="shared" si="15"/>
        <v>-</v>
      </c>
      <c r="AH46" s="5" t="s">
        <v>13</v>
      </c>
      <c r="AI46" s="5" t="str">
        <f t="shared" si="16"/>
        <v>-</v>
      </c>
      <c r="AJ46" s="5" t="str">
        <f t="shared" si="17"/>
        <v>-</v>
      </c>
      <c r="AK46" s="10" t="str">
        <f t="shared" si="18"/>
        <v>-</v>
      </c>
      <c r="AL46" s="5" t="s">
        <v>13</v>
      </c>
      <c r="AM46" s="5" t="str">
        <f t="shared" si="19"/>
        <v>-</v>
      </c>
      <c r="AN46" s="5" t="str">
        <f t="shared" si="20"/>
        <v>-</v>
      </c>
      <c r="AO46" s="10" t="str">
        <f t="shared" si="21"/>
        <v>-</v>
      </c>
      <c r="AP46" s="5" t="s">
        <v>12</v>
      </c>
      <c r="AQ46" s="5" t="str">
        <f t="shared" si="22"/>
        <v>-</v>
      </c>
      <c r="AR46" s="5" t="str">
        <f t="shared" si="23"/>
        <v>-</v>
      </c>
      <c r="AS46" s="10" t="str">
        <f t="shared" si="24"/>
        <v>-</v>
      </c>
      <c r="AT46" s="5" t="s">
        <v>13</v>
      </c>
      <c r="AU46" s="5" t="str">
        <f t="shared" si="25"/>
        <v>-</v>
      </c>
      <c r="AV46" s="5" t="str">
        <f t="shared" si="26"/>
        <v>-</v>
      </c>
      <c r="AW46" s="10" t="str">
        <f t="shared" si="27"/>
        <v>-</v>
      </c>
      <c r="AX46" s="5" t="s">
        <v>13</v>
      </c>
      <c r="AY46" s="5" t="str">
        <f t="shared" si="28"/>
        <v>-</v>
      </c>
      <c r="AZ46" s="5" t="s">
        <v>0</v>
      </c>
      <c r="BA46" s="5" t="s">
        <v>0</v>
      </c>
      <c r="BB46" s="5" t="s">
        <v>0</v>
      </c>
      <c r="BC46" s="5" t="s">
        <v>0</v>
      </c>
      <c r="BD46" s="5" t="s">
        <v>0</v>
      </c>
      <c r="BE46" s="5" t="s">
        <v>0</v>
      </c>
      <c r="BF46" s="5">
        <v>20</v>
      </c>
    </row>
    <row r="47" spans="1:58" x14ac:dyDescent="0.2">
      <c r="A47" s="4"/>
      <c r="B47" s="4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 t="str">
        <f t="shared" si="11"/>
        <v>-</v>
      </c>
      <c r="AC47" s="10" t="str">
        <f t="shared" si="12"/>
        <v>-</v>
      </c>
      <c r="AD47" s="5" t="s">
        <v>12</v>
      </c>
      <c r="AE47" s="5" t="str">
        <f t="shared" si="13"/>
        <v>-</v>
      </c>
      <c r="AF47" s="5" t="str">
        <f t="shared" si="14"/>
        <v>-</v>
      </c>
      <c r="AG47" s="10" t="str">
        <f t="shared" si="15"/>
        <v>-</v>
      </c>
      <c r="AH47" s="5" t="s">
        <v>13</v>
      </c>
      <c r="AI47" s="5" t="str">
        <f t="shared" si="16"/>
        <v>-</v>
      </c>
      <c r="AJ47" s="5" t="str">
        <f t="shared" si="17"/>
        <v>-</v>
      </c>
      <c r="AK47" s="10" t="str">
        <f t="shared" si="18"/>
        <v>-</v>
      </c>
      <c r="AL47" s="5" t="s">
        <v>13</v>
      </c>
      <c r="AM47" s="5" t="str">
        <f t="shared" si="19"/>
        <v>-</v>
      </c>
      <c r="AN47" s="5" t="str">
        <f t="shared" si="20"/>
        <v>-</v>
      </c>
      <c r="AO47" s="10" t="str">
        <f t="shared" si="21"/>
        <v>-</v>
      </c>
      <c r="AP47" s="5" t="s">
        <v>12</v>
      </c>
      <c r="AQ47" s="5" t="str">
        <f t="shared" si="22"/>
        <v>-</v>
      </c>
      <c r="AR47" s="5" t="str">
        <f t="shared" si="23"/>
        <v>-</v>
      </c>
      <c r="AS47" s="10" t="str">
        <f t="shared" si="24"/>
        <v>-</v>
      </c>
      <c r="AT47" s="5" t="s">
        <v>13</v>
      </c>
      <c r="AU47" s="5" t="str">
        <f t="shared" si="25"/>
        <v>-</v>
      </c>
      <c r="AV47" s="5" t="str">
        <f t="shared" si="26"/>
        <v>-</v>
      </c>
      <c r="AW47" s="10" t="str">
        <f t="shared" si="27"/>
        <v>-</v>
      </c>
      <c r="AX47" s="5" t="s">
        <v>13</v>
      </c>
      <c r="AY47" s="5" t="str">
        <f t="shared" si="28"/>
        <v>-</v>
      </c>
      <c r="AZ47" s="5" t="s">
        <v>0</v>
      </c>
      <c r="BA47" s="5" t="s">
        <v>0</v>
      </c>
      <c r="BB47" s="5" t="s">
        <v>0</v>
      </c>
      <c r="BC47" s="5" t="s">
        <v>0</v>
      </c>
      <c r="BD47" s="5" t="s">
        <v>0</v>
      </c>
      <c r="BE47" s="5" t="s">
        <v>0</v>
      </c>
      <c r="BF47" s="5">
        <v>20</v>
      </c>
    </row>
    <row r="48" spans="1:58" x14ac:dyDescent="0.2">
      <c r="A48" s="4"/>
      <c r="B48" s="4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 t="str">
        <f t="shared" si="11"/>
        <v>-</v>
      </c>
      <c r="AC48" s="10" t="str">
        <f t="shared" si="12"/>
        <v>-</v>
      </c>
      <c r="AD48" s="5" t="s">
        <v>12</v>
      </c>
      <c r="AE48" s="5" t="str">
        <f t="shared" si="13"/>
        <v>-</v>
      </c>
      <c r="AF48" s="5" t="str">
        <f t="shared" si="14"/>
        <v>-</v>
      </c>
      <c r="AG48" s="10" t="str">
        <f t="shared" si="15"/>
        <v>-</v>
      </c>
      <c r="AH48" s="5" t="s">
        <v>13</v>
      </c>
      <c r="AI48" s="5" t="str">
        <f t="shared" si="16"/>
        <v>-</v>
      </c>
      <c r="AJ48" s="5" t="str">
        <f t="shared" si="17"/>
        <v>-</v>
      </c>
      <c r="AK48" s="10" t="str">
        <f t="shared" si="18"/>
        <v>-</v>
      </c>
      <c r="AL48" s="5" t="s">
        <v>13</v>
      </c>
      <c r="AM48" s="5" t="str">
        <f t="shared" si="19"/>
        <v>-</v>
      </c>
      <c r="AN48" s="5" t="str">
        <f t="shared" si="20"/>
        <v>-</v>
      </c>
      <c r="AO48" s="10" t="str">
        <f t="shared" si="21"/>
        <v>-</v>
      </c>
      <c r="AP48" s="5" t="s">
        <v>12</v>
      </c>
      <c r="AQ48" s="5" t="str">
        <f t="shared" si="22"/>
        <v>-</v>
      </c>
      <c r="AR48" s="5" t="str">
        <f t="shared" si="23"/>
        <v>-</v>
      </c>
      <c r="AS48" s="10" t="str">
        <f t="shared" si="24"/>
        <v>-</v>
      </c>
      <c r="AT48" s="5" t="s">
        <v>13</v>
      </c>
      <c r="AU48" s="5" t="str">
        <f t="shared" si="25"/>
        <v>-</v>
      </c>
      <c r="AV48" s="5" t="str">
        <f t="shared" si="26"/>
        <v>-</v>
      </c>
      <c r="AW48" s="10" t="str">
        <f t="shared" si="27"/>
        <v>-</v>
      </c>
      <c r="AX48" s="5" t="s">
        <v>13</v>
      </c>
      <c r="AY48" s="5" t="str">
        <f t="shared" si="28"/>
        <v>-</v>
      </c>
      <c r="AZ48" s="5" t="s">
        <v>0</v>
      </c>
      <c r="BA48" s="5" t="s">
        <v>0</v>
      </c>
      <c r="BB48" s="5" t="s">
        <v>0</v>
      </c>
      <c r="BC48" s="5" t="s">
        <v>0</v>
      </c>
      <c r="BD48" s="5" t="s">
        <v>0</v>
      </c>
      <c r="BE48" s="5" t="s">
        <v>0</v>
      </c>
      <c r="BF48" s="5">
        <v>20</v>
      </c>
    </row>
    <row r="49" spans="1:58" x14ac:dyDescent="0.2">
      <c r="A49" s="4"/>
      <c r="B49" s="4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 t="str">
        <f t="shared" si="11"/>
        <v>-</v>
      </c>
      <c r="AC49" s="10" t="str">
        <f t="shared" si="12"/>
        <v>-</v>
      </c>
      <c r="AD49" s="5" t="s">
        <v>12</v>
      </c>
      <c r="AE49" s="5" t="str">
        <f t="shared" si="13"/>
        <v>-</v>
      </c>
      <c r="AF49" s="5" t="str">
        <f t="shared" si="14"/>
        <v>-</v>
      </c>
      <c r="AG49" s="10" t="str">
        <f t="shared" si="15"/>
        <v>-</v>
      </c>
      <c r="AH49" s="5" t="s">
        <v>13</v>
      </c>
      <c r="AI49" s="5" t="str">
        <f t="shared" si="16"/>
        <v>-</v>
      </c>
      <c r="AJ49" s="5" t="str">
        <f t="shared" si="17"/>
        <v>-</v>
      </c>
      <c r="AK49" s="10" t="str">
        <f t="shared" si="18"/>
        <v>-</v>
      </c>
      <c r="AL49" s="5" t="s">
        <v>13</v>
      </c>
      <c r="AM49" s="5" t="str">
        <f t="shared" si="19"/>
        <v>-</v>
      </c>
      <c r="AN49" s="5" t="str">
        <f t="shared" si="20"/>
        <v>-</v>
      </c>
      <c r="AO49" s="10" t="str">
        <f t="shared" si="21"/>
        <v>-</v>
      </c>
      <c r="AP49" s="5" t="s">
        <v>12</v>
      </c>
      <c r="AQ49" s="5" t="str">
        <f t="shared" si="22"/>
        <v>-</v>
      </c>
      <c r="AR49" s="5" t="str">
        <f t="shared" si="23"/>
        <v>-</v>
      </c>
      <c r="AS49" s="10" t="str">
        <f t="shared" si="24"/>
        <v>-</v>
      </c>
      <c r="AT49" s="5" t="s">
        <v>13</v>
      </c>
      <c r="AU49" s="5" t="str">
        <f t="shared" si="25"/>
        <v>-</v>
      </c>
      <c r="AV49" s="5" t="str">
        <f t="shared" si="26"/>
        <v>-</v>
      </c>
      <c r="AW49" s="10" t="str">
        <f t="shared" si="27"/>
        <v>-</v>
      </c>
      <c r="AX49" s="5" t="s">
        <v>13</v>
      </c>
      <c r="AY49" s="5" t="str">
        <f t="shared" si="28"/>
        <v>-</v>
      </c>
      <c r="AZ49" s="5" t="s">
        <v>0</v>
      </c>
      <c r="BA49" s="5" t="s">
        <v>0</v>
      </c>
      <c r="BB49" s="5" t="s">
        <v>0</v>
      </c>
      <c r="BC49" s="5" t="s">
        <v>0</v>
      </c>
      <c r="BD49" s="5" t="s">
        <v>0</v>
      </c>
      <c r="BE49" s="5" t="s">
        <v>0</v>
      </c>
      <c r="BF49" s="5">
        <v>20</v>
      </c>
    </row>
    <row r="50" spans="1:58" x14ac:dyDescent="0.2">
      <c r="A50" s="4"/>
      <c r="B50" s="4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 t="str">
        <f t="shared" si="11"/>
        <v>-</v>
      </c>
      <c r="AC50" s="10" t="str">
        <f t="shared" si="12"/>
        <v>-</v>
      </c>
      <c r="AD50" s="5" t="s">
        <v>12</v>
      </c>
      <c r="AE50" s="5" t="str">
        <f t="shared" si="13"/>
        <v>-</v>
      </c>
      <c r="AF50" s="5" t="str">
        <f t="shared" si="14"/>
        <v>-</v>
      </c>
      <c r="AG50" s="10" t="str">
        <f t="shared" si="15"/>
        <v>-</v>
      </c>
      <c r="AH50" s="5" t="s">
        <v>13</v>
      </c>
      <c r="AI50" s="5" t="str">
        <f t="shared" si="16"/>
        <v>-</v>
      </c>
      <c r="AJ50" s="5" t="str">
        <f t="shared" si="17"/>
        <v>-</v>
      </c>
      <c r="AK50" s="10" t="str">
        <f t="shared" si="18"/>
        <v>-</v>
      </c>
      <c r="AL50" s="5" t="s">
        <v>13</v>
      </c>
      <c r="AM50" s="5" t="str">
        <f t="shared" si="19"/>
        <v>-</v>
      </c>
      <c r="AN50" s="5" t="str">
        <f t="shared" si="20"/>
        <v>-</v>
      </c>
      <c r="AO50" s="10" t="str">
        <f t="shared" si="21"/>
        <v>-</v>
      </c>
      <c r="AP50" s="5" t="s">
        <v>12</v>
      </c>
      <c r="AQ50" s="5" t="str">
        <f t="shared" si="22"/>
        <v>-</v>
      </c>
      <c r="AR50" s="5" t="str">
        <f t="shared" si="23"/>
        <v>-</v>
      </c>
      <c r="AS50" s="10" t="str">
        <f t="shared" si="24"/>
        <v>-</v>
      </c>
      <c r="AT50" s="5" t="s">
        <v>13</v>
      </c>
      <c r="AU50" s="5" t="str">
        <f t="shared" si="25"/>
        <v>-</v>
      </c>
      <c r="AV50" s="5" t="str">
        <f t="shared" si="26"/>
        <v>-</v>
      </c>
      <c r="AW50" s="10" t="str">
        <f t="shared" si="27"/>
        <v>-</v>
      </c>
      <c r="AX50" s="5" t="s">
        <v>13</v>
      </c>
      <c r="AY50" s="5" t="str">
        <f t="shared" si="28"/>
        <v>-</v>
      </c>
      <c r="AZ50" s="5" t="s">
        <v>0</v>
      </c>
      <c r="BA50" s="5" t="s">
        <v>0</v>
      </c>
      <c r="BB50" s="5" t="s">
        <v>0</v>
      </c>
      <c r="BC50" s="5" t="s">
        <v>0</v>
      </c>
      <c r="BD50" s="5" t="s">
        <v>0</v>
      </c>
      <c r="BE50" s="5" t="s">
        <v>0</v>
      </c>
      <c r="BF50" s="5">
        <v>20</v>
      </c>
    </row>
    <row r="51" spans="1:58" x14ac:dyDescent="0.2">
      <c r="A51" s="4"/>
      <c r="B51" s="4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 t="str">
        <f t="shared" si="11"/>
        <v>-</v>
      </c>
      <c r="AC51" s="10" t="str">
        <f t="shared" si="12"/>
        <v>-</v>
      </c>
      <c r="AD51" s="5" t="s">
        <v>12</v>
      </c>
      <c r="AE51" s="5" t="str">
        <f t="shared" si="13"/>
        <v>-</v>
      </c>
      <c r="AF51" s="5" t="str">
        <f t="shared" si="14"/>
        <v>-</v>
      </c>
      <c r="AG51" s="10" t="str">
        <f t="shared" si="15"/>
        <v>-</v>
      </c>
      <c r="AH51" s="5" t="s">
        <v>13</v>
      </c>
      <c r="AI51" s="5" t="str">
        <f t="shared" si="16"/>
        <v>-</v>
      </c>
      <c r="AJ51" s="5" t="str">
        <f t="shared" si="17"/>
        <v>-</v>
      </c>
      <c r="AK51" s="10" t="str">
        <f t="shared" si="18"/>
        <v>-</v>
      </c>
      <c r="AL51" s="5" t="s">
        <v>13</v>
      </c>
      <c r="AM51" s="5" t="str">
        <f t="shared" si="19"/>
        <v>-</v>
      </c>
      <c r="AN51" s="5" t="str">
        <f t="shared" si="20"/>
        <v>-</v>
      </c>
      <c r="AO51" s="10" t="str">
        <f t="shared" si="21"/>
        <v>-</v>
      </c>
      <c r="AP51" s="5" t="s">
        <v>12</v>
      </c>
      <c r="AQ51" s="5" t="str">
        <f t="shared" si="22"/>
        <v>-</v>
      </c>
      <c r="AR51" s="5" t="str">
        <f t="shared" si="23"/>
        <v>-</v>
      </c>
      <c r="AS51" s="10" t="str">
        <f t="shared" si="24"/>
        <v>-</v>
      </c>
      <c r="AT51" s="5" t="s">
        <v>13</v>
      </c>
      <c r="AU51" s="5" t="str">
        <f t="shared" si="25"/>
        <v>-</v>
      </c>
      <c r="AV51" s="5" t="str">
        <f t="shared" si="26"/>
        <v>-</v>
      </c>
      <c r="AW51" s="10" t="str">
        <f t="shared" si="27"/>
        <v>-</v>
      </c>
      <c r="AX51" s="5" t="s">
        <v>13</v>
      </c>
      <c r="AY51" s="5" t="str">
        <f t="shared" si="28"/>
        <v>-</v>
      </c>
      <c r="AZ51" s="5" t="s">
        <v>0</v>
      </c>
      <c r="BA51" s="5" t="s">
        <v>0</v>
      </c>
      <c r="BB51" s="5" t="s">
        <v>0</v>
      </c>
      <c r="BC51" s="5" t="s">
        <v>0</v>
      </c>
      <c r="BD51" s="5" t="s">
        <v>0</v>
      </c>
      <c r="BE51" s="5" t="s">
        <v>0</v>
      </c>
      <c r="BF51" s="5">
        <v>20</v>
      </c>
    </row>
    <row r="52" spans="1:58" x14ac:dyDescent="0.2">
      <c r="A52" s="4"/>
      <c r="B52" s="4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 t="str">
        <f t="shared" si="11"/>
        <v>-</v>
      </c>
      <c r="AC52" s="10" t="str">
        <f t="shared" si="12"/>
        <v>-</v>
      </c>
      <c r="AD52" s="5" t="s">
        <v>12</v>
      </c>
      <c r="AE52" s="5" t="str">
        <f t="shared" si="13"/>
        <v>-</v>
      </c>
      <c r="AF52" s="5" t="str">
        <f t="shared" si="14"/>
        <v>-</v>
      </c>
      <c r="AG52" s="10" t="str">
        <f t="shared" si="15"/>
        <v>-</v>
      </c>
      <c r="AH52" s="5" t="s">
        <v>13</v>
      </c>
      <c r="AI52" s="5" t="str">
        <f t="shared" si="16"/>
        <v>-</v>
      </c>
      <c r="AJ52" s="5" t="str">
        <f t="shared" si="17"/>
        <v>-</v>
      </c>
      <c r="AK52" s="10" t="str">
        <f t="shared" si="18"/>
        <v>-</v>
      </c>
      <c r="AL52" s="5" t="s">
        <v>13</v>
      </c>
      <c r="AM52" s="5" t="str">
        <f t="shared" si="19"/>
        <v>-</v>
      </c>
      <c r="AN52" s="5" t="str">
        <f t="shared" si="20"/>
        <v>-</v>
      </c>
      <c r="AO52" s="10" t="str">
        <f t="shared" si="21"/>
        <v>-</v>
      </c>
      <c r="AP52" s="5" t="s">
        <v>12</v>
      </c>
      <c r="AQ52" s="5" t="str">
        <f t="shared" si="22"/>
        <v>-</v>
      </c>
      <c r="AR52" s="5" t="str">
        <f t="shared" si="23"/>
        <v>-</v>
      </c>
      <c r="AS52" s="10" t="str">
        <f t="shared" si="24"/>
        <v>-</v>
      </c>
      <c r="AT52" s="5" t="s">
        <v>13</v>
      </c>
      <c r="AU52" s="5" t="str">
        <f t="shared" si="25"/>
        <v>-</v>
      </c>
      <c r="AV52" s="5" t="str">
        <f t="shared" si="26"/>
        <v>-</v>
      </c>
      <c r="AW52" s="10" t="str">
        <f t="shared" si="27"/>
        <v>-</v>
      </c>
      <c r="AX52" s="5" t="s">
        <v>13</v>
      </c>
      <c r="AY52" s="5" t="str">
        <f t="shared" si="28"/>
        <v>-</v>
      </c>
      <c r="AZ52" s="5" t="s">
        <v>0</v>
      </c>
      <c r="BA52" s="5" t="s">
        <v>0</v>
      </c>
      <c r="BB52" s="5" t="s">
        <v>0</v>
      </c>
      <c r="BC52" s="5" t="s">
        <v>0</v>
      </c>
      <c r="BD52" s="5" t="s">
        <v>0</v>
      </c>
      <c r="BE52" s="5" t="s">
        <v>0</v>
      </c>
      <c r="BF52" s="5">
        <v>20</v>
      </c>
    </row>
    <row r="53" spans="1:58" x14ac:dyDescent="0.2">
      <c r="A53" s="4"/>
      <c r="B53" s="4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 t="str">
        <f t="shared" si="11"/>
        <v>-</v>
      </c>
      <c r="AC53" s="10" t="str">
        <f t="shared" si="12"/>
        <v>-</v>
      </c>
      <c r="AD53" s="5" t="s">
        <v>12</v>
      </c>
      <c r="AE53" s="5" t="str">
        <f t="shared" si="13"/>
        <v>-</v>
      </c>
      <c r="AF53" s="5" t="str">
        <f t="shared" si="14"/>
        <v>-</v>
      </c>
      <c r="AG53" s="10" t="str">
        <f t="shared" si="15"/>
        <v>-</v>
      </c>
      <c r="AH53" s="5" t="s">
        <v>13</v>
      </c>
      <c r="AI53" s="5" t="str">
        <f t="shared" si="16"/>
        <v>-</v>
      </c>
      <c r="AJ53" s="5" t="str">
        <f t="shared" si="17"/>
        <v>-</v>
      </c>
      <c r="AK53" s="10" t="str">
        <f t="shared" si="18"/>
        <v>-</v>
      </c>
      <c r="AL53" s="5" t="s">
        <v>13</v>
      </c>
      <c r="AM53" s="5" t="str">
        <f t="shared" si="19"/>
        <v>-</v>
      </c>
      <c r="AN53" s="5" t="str">
        <f t="shared" si="20"/>
        <v>-</v>
      </c>
      <c r="AO53" s="10" t="str">
        <f t="shared" si="21"/>
        <v>-</v>
      </c>
      <c r="AP53" s="5" t="s">
        <v>12</v>
      </c>
      <c r="AQ53" s="5" t="str">
        <f t="shared" si="22"/>
        <v>-</v>
      </c>
      <c r="AR53" s="5" t="str">
        <f t="shared" si="23"/>
        <v>-</v>
      </c>
      <c r="AS53" s="10" t="str">
        <f t="shared" si="24"/>
        <v>-</v>
      </c>
      <c r="AT53" s="5" t="s">
        <v>13</v>
      </c>
      <c r="AU53" s="5" t="str">
        <f t="shared" si="25"/>
        <v>-</v>
      </c>
      <c r="AV53" s="5" t="str">
        <f t="shared" si="26"/>
        <v>-</v>
      </c>
      <c r="AW53" s="10" t="str">
        <f t="shared" si="27"/>
        <v>-</v>
      </c>
      <c r="AX53" s="5" t="s">
        <v>13</v>
      </c>
      <c r="AY53" s="5" t="str">
        <f t="shared" si="28"/>
        <v>-</v>
      </c>
      <c r="AZ53" s="5" t="s">
        <v>0</v>
      </c>
      <c r="BA53" s="5" t="s">
        <v>0</v>
      </c>
      <c r="BB53" s="5" t="s">
        <v>0</v>
      </c>
      <c r="BC53" s="5" t="s">
        <v>0</v>
      </c>
      <c r="BD53" s="5" t="s">
        <v>0</v>
      </c>
      <c r="BE53" s="5" t="s">
        <v>0</v>
      </c>
      <c r="BF53" s="5">
        <v>20</v>
      </c>
    </row>
    <row r="54" spans="1:58" x14ac:dyDescent="0.2">
      <c r="A54" s="4"/>
      <c r="B54" s="4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 t="str">
        <f t="shared" si="11"/>
        <v>-</v>
      </c>
      <c r="AC54" s="10" t="str">
        <f t="shared" si="12"/>
        <v>-</v>
      </c>
      <c r="AD54" s="5" t="s">
        <v>12</v>
      </c>
      <c r="AE54" s="5" t="str">
        <f t="shared" si="13"/>
        <v>-</v>
      </c>
      <c r="AF54" s="5" t="str">
        <f t="shared" si="14"/>
        <v>-</v>
      </c>
      <c r="AG54" s="10" t="str">
        <f t="shared" si="15"/>
        <v>-</v>
      </c>
      <c r="AH54" s="5" t="s">
        <v>13</v>
      </c>
      <c r="AI54" s="5" t="str">
        <f t="shared" si="16"/>
        <v>-</v>
      </c>
      <c r="AJ54" s="5" t="str">
        <f t="shared" si="17"/>
        <v>-</v>
      </c>
      <c r="AK54" s="10" t="str">
        <f t="shared" si="18"/>
        <v>-</v>
      </c>
      <c r="AL54" s="5" t="s">
        <v>13</v>
      </c>
      <c r="AM54" s="5" t="str">
        <f t="shared" si="19"/>
        <v>-</v>
      </c>
      <c r="AN54" s="5" t="str">
        <f t="shared" si="20"/>
        <v>-</v>
      </c>
      <c r="AO54" s="10" t="str">
        <f t="shared" si="21"/>
        <v>-</v>
      </c>
      <c r="AP54" s="5" t="s">
        <v>12</v>
      </c>
      <c r="AQ54" s="5" t="str">
        <f t="shared" si="22"/>
        <v>-</v>
      </c>
      <c r="AR54" s="5" t="str">
        <f t="shared" si="23"/>
        <v>-</v>
      </c>
      <c r="AS54" s="10" t="str">
        <f t="shared" si="24"/>
        <v>-</v>
      </c>
      <c r="AT54" s="5" t="s">
        <v>13</v>
      </c>
      <c r="AU54" s="5" t="str">
        <f t="shared" si="25"/>
        <v>-</v>
      </c>
      <c r="AV54" s="5" t="str">
        <f t="shared" si="26"/>
        <v>-</v>
      </c>
      <c r="AW54" s="10" t="str">
        <f t="shared" si="27"/>
        <v>-</v>
      </c>
      <c r="AX54" s="5" t="s">
        <v>13</v>
      </c>
      <c r="AY54" s="5" t="str">
        <f t="shared" si="28"/>
        <v>-</v>
      </c>
      <c r="AZ54" s="5" t="s">
        <v>0</v>
      </c>
      <c r="BA54" s="5" t="s">
        <v>0</v>
      </c>
      <c r="BB54" s="5" t="s">
        <v>0</v>
      </c>
      <c r="BC54" s="5" t="s">
        <v>0</v>
      </c>
      <c r="BD54" s="5" t="s">
        <v>0</v>
      </c>
      <c r="BE54" s="5" t="s">
        <v>0</v>
      </c>
      <c r="BF54" s="5">
        <v>20</v>
      </c>
    </row>
    <row r="55" spans="1:58" x14ac:dyDescent="0.2">
      <c r="A55" s="4"/>
      <c r="B55" s="4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 t="str">
        <f t="shared" si="11"/>
        <v>-</v>
      </c>
      <c r="AC55" s="10" t="str">
        <f t="shared" si="12"/>
        <v>-</v>
      </c>
      <c r="AD55" s="5" t="s">
        <v>12</v>
      </c>
      <c r="AE55" s="5" t="str">
        <f t="shared" si="13"/>
        <v>-</v>
      </c>
      <c r="AF55" s="5" t="str">
        <f t="shared" si="14"/>
        <v>-</v>
      </c>
      <c r="AG55" s="10" t="str">
        <f t="shared" si="15"/>
        <v>-</v>
      </c>
      <c r="AH55" s="5" t="s">
        <v>13</v>
      </c>
      <c r="AI55" s="5" t="str">
        <f t="shared" si="16"/>
        <v>-</v>
      </c>
      <c r="AJ55" s="5" t="str">
        <f t="shared" si="17"/>
        <v>-</v>
      </c>
      <c r="AK55" s="10" t="str">
        <f t="shared" si="18"/>
        <v>-</v>
      </c>
      <c r="AL55" s="5" t="s">
        <v>13</v>
      </c>
      <c r="AM55" s="5" t="str">
        <f t="shared" si="19"/>
        <v>-</v>
      </c>
      <c r="AN55" s="5" t="str">
        <f t="shared" si="20"/>
        <v>-</v>
      </c>
      <c r="AO55" s="10" t="str">
        <f t="shared" si="21"/>
        <v>-</v>
      </c>
      <c r="AP55" s="5" t="s">
        <v>12</v>
      </c>
      <c r="AQ55" s="5" t="str">
        <f t="shared" si="22"/>
        <v>-</v>
      </c>
      <c r="AR55" s="5" t="str">
        <f t="shared" si="23"/>
        <v>-</v>
      </c>
      <c r="AS55" s="10" t="str">
        <f t="shared" si="24"/>
        <v>-</v>
      </c>
      <c r="AT55" s="5" t="s">
        <v>13</v>
      </c>
      <c r="AU55" s="5" t="str">
        <f t="shared" si="25"/>
        <v>-</v>
      </c>
      <c r="AV55" s="5" t="str">
        <f t="shared" si="26"/>
        <v>-</v>
      </c>
      <c r="AW55" s="10" t="str">
        <f t="shared" si="27"/>
        <v>-</v>
      </c>
      <c r="AX55" s="5" t="s">
        <v>13</v>
      </c>
      <c r="AY55" s="5" t="str">
        <f t="shared" si="28"/>
        <v>-</v>
      </c>
      <c r="AZ55" s="5" t="s">
        <v>0</v>
      </c>
      <c r="BA55" s="5" t="s">
        <v>0</v>
      </c>
      <c r="BB55" s="5" t="s">
        <v>0</v>
      </c>
      <c r="BC55" s="5" t="s">
        <v>0</v>
      </c>
      <c r="BD55" s="5" t="s">
        <v>0</v>
      </c>
      <c r="BE55" s="5" t="s">
        <v>0</v>
      </c>
      <c r="BF55" s="5">
        <v>20</v>
      </c>
    </row>
    <row r="56" spans="1:58" x14ac:dyDescent="0.2">
      <c r="A56" s="4"/>
      <c r="B56" s="4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 t="str">
        <f t="shared" si="11"/>
        <v>-</v>
      </c>
      <c r="AC56" s="10" t="str">
        <f t="shared" si="12"/>
        <v>-</v>
      </c>
      <c r="AD56" s="5" t="s">
        <v>12</v>
      </c>
      <c r="AE56" s="5" t="str">
        <f t="shared" si="13"/>
        <v>-</v>
      </c>
      <c r="AF56" s="5" t="str">
        <f t="shared" si="14"/>
        <v>-</v>
      </c>
      <c r="AG56" s="10" t="str">
        <f t="shared" si="15"/>
        <v>-</v>
      </c>
      <c r="AH56" s="5" t="s">
        <v>13</v>
      </c>
      <c r="AI56" s="5" t="str">
        <f t="shared" si="16"/>
        <v>-</v>
      </c>
      <c r="AJ56" s="5" t="str">
        <f t="shared" si="17"/>
        <v>-</v>
      </c>
      <c r="AK56" s="10" t="str">
        <f t="shared" si="18"/>
        <v>-</v>
      </c>
      <c r="AL56" s="5" t="s">
        <v>13</v>
      </c>
      <c r="AM56" s="5" t="str">
        <f t="shared" si="19"/>
        <v>-</v>
      </c>
      <c r="AN56" s="5" t="str">
        <f t="shared" si="20"/>
        <v>-</v>
      </c>
      <c r="AO56" s="10" t="str">
        <f t="shared" si="21"/>
        <v>-</v>
      </c>
      <c r="AP56" s="5" t="s">
        <v>12</v>
      </c>
      <c r="AQ56" s="5" t="str">
        <f t="shared" si="22"/>
        <v>-</v>
      </c>
      <c r="AR56" s="5" t="str">
        <f t="shared" si="23"/>
        <v>-</v>
      </c>
      <c r="AS56" s="10" t="str">
        <f t="shared" si="24"/>
        <v>-</v>
      </c>
      <c r="AT56" s="5" t="s">
        <v>13</v>
      </c>
      <c r="AU56" s="5" t="str">
        <f t="shared" si="25"/>
        <v>-</v>
      </c>
      <c r="AV56" s="5" t="str">
        <f t="shared" si="26"/>
        <v>-</v>
      </c>
      <c r="AW56" s="10" t="str">
        <f t="shared" si="27"/>
        <v>-</v>
      </c>
      <c r="AX56" s="5" t="s">
        <v>13</v>
      </c>
      <c r="AY56" s="5" t="str">
        <f t="shared" si="28"/>
        <v>-</v>
      </c>
      <c r="AZ56" s="5" t="s">
        <v>0</v>
      </c>
      <c r="BA56" s="5" t="s">
        <v>0</v>
      </c>
      <c r="BB56" s="5" t="s">
        <v>0</v>
      </c>
      <c r="BC56" s="5" t="s">
        <v>0</v>
      </c>
      <c r="BD56" s="5" t="s">
        <v>0</v>
      </c>
      <c r="BE56" s="5" t="s">
        <v>0</v>
      </c>
      <c r="BF56" s="5">
        <v>20</v>
      </c>
    </row>
    <row r="57" spans="1:58" x14ac:dyDescent="0.2">
      <c r="A57" s="4"/>
      <c r="B57" s="4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 t="str">
        <f t="shared" si="11"/>
        <v>-</v>
      </c>
      <c r="AC57" s="10" t="str">
        <f t="shared" si="12"/>
        <v>-</v>
      </c>
      <c r="AD57" s="5" t="s">
        <v>12</v>
      </c>
      <c r="AE57" s="5" t="str">
        <f t="shared" si="13"/>
        <v>-</v>
      </c>
      <c r="AF57" s="5" t="str">
        <f t="shared" si="14"/>
        <v>-</v>
      </c>
      <c r="AG57" s="10" t="str">
        <f t="shared" si="15"/>
        <v>-</v>
      </c>
      <c r="AH57" s="5" t="s">
        <v>13</v>
      </c>
      <c r="AI57" s="5" t="str">
        <f t="shared" si="16"/>
        <v>-</v>
      </c>
      <c r="AJ57" s="5" t="str">
        <f t="shared" si="17"/>
        <v>-</v>
      </c>
      <c r="AK57" s="10" t="str">
        <f t="shared" si="18"/>
        <v>-</v>
      </c>
      <c r="AL57" s="5" t="s">
        <v>13</v>
      </c>
      <c r="AM57" s="5" t="str">
        <f t="shared" si="19"/>
        <v>-</v>
      </c>
      <c r="AN57" s="5" t="str">
        <f t="shared" si="20"/>
        <v>-</v>
      </c>
      <c r="AO57" s="10" t="str">
        <f t="shared" si="21"/>
        <v>-</v>
      </c>
      <c r="AP57" s="5" t="s">
        <v>12</v>
      </c>
      <c r="AQ57" s="5" t="str">
        <f t="shared" si="22"/>
        <v>-</v>
      </c>
      <c r="AR57" s="5" t="str">
        <f t="shared" si="23"/>
        <v>-</v>
      </c>
      <c r="AS57" s="10" t="str">
        <f t="shared" si="24"/>
        <v>-</v>
      </c>
      <c r="AT57" s="5" t="s">
        <v>13</v>
      </c>
      <c r="AU57" s="5" t="str">
        <f t="shared" si="25"/>
        <v>-</v>
      </c>
      <c r="AV57" s="5" t="str">
        <f t="shared" si="26"/>
        <v>-</v>
      </c>
      <c r="AW57" s="10" t="str">
        <f t="shared" si="27"/>
        <v>-</v>
      </c>
      <c r="AX57" s="5" t="s">
        <v>13</v>
      </c>
      <c r="AY57" s="5" t="str">
        <f t="shared" si="28"/>
        <v>-</v>
      </c>
      <c r="AZ57" s="5" t="s">
        <v>0</v>
      </c>
      <c r="BA57" s="5" t="s">
        <v>0</v>
      </c>
      <c r="BB57" s="5" t="s">
        <v>0</v>
      </c>
      <c r="BC57" s="5" t="s">
        <v>0</v>
      </c>
      <c r="BD57" s="5" t="s">
        <v>0</v>
      </c>
      <c r="BE57" s="5" t="s">
        <v>0</v>
      </c>
      <c r="BF57" s="5">
        <v>20</v>
      </c>
    </row>
  </sheetData>
  <dataConsolidate/>
  <mergeCells count="42">
    <mergeCell ref="AY12:AY13"/>
    <mergeCell ref="B11:D11"/>
    <mergeCell ref="E12:E13"/>
    <mergeCell ref="B12:B13"/>
    <mergeCell ref="G11:H11"/>
    <mergeCell ref="AN11:AY11"/>
    <mergeCell ref="AD12:AD13"/>
    <mergeCell ref="AE12:AE13"/>
    <mergeCell ref="AH12:AH13"/>
    <mergeCell ref="AI12:AI13"/>
    <mergeCell ref="AL12:AL13"/>
    <mergeCell ref="AM12:AM13"/>
    <mergeCell ref="AP12:AP13"/>
    <mergeCell ref="AQ12:AQ13"/>
    <mergeCell ref="AT12:AT13"/>
    <mergeCell ref="AU12:AU13"/>
    <mergeCell ref="AX12:AX13"/>
    <mergeCell ref="AB11:AM11"/>
    <mergeCell ref="J11:R11"/>
    <mergeCell ref="K12:K13"/>
    <mergeCell ref="L12:L13"/>
    <mergeCell ref="T12:T13"/>
    <mergeCell ref="N12:N13"/>
    <mergeCell ref="O12:O13"/>
    <mergeCell ref="Q12:Q13"/>
    <mergeCell ref="R12:R13"/>
    <mergeCell ref="E11:F11"/>
    <mergeCell ref="C12:C13"/>
    <mergeCell ref="D12:D13"/>
    <mergeCell ref="BF11:BF13"/>
    <mergeCell ref="F12:F13"/>
    <mergeCell ref="H12:H13"/>
    <mergeCell ref="I12:I13"/>
    <mergeCell ref="G12:G13"/>
    <mergeCell ref="Z12:Z13"/>
    <mergeCell ref="AA12:AA13"/>
    <mergeCell ref="S11:AA11"/>
    <mergeCell ref="U12:U13"/>
    <mergeCell ref="W12:W13"/>
    <mergeCell ref="X12:X13"/>
    <mergeCell ref="AZ11:BB12"/>
    <mergeCell ref="BC11:BE12"/>
  </mergeCells>
  <dataValidations count="3">
    <dataValidation type="list" allowBlank="1" showInputMessage="1" showErrorMessage="1" sqref="K14:K57 T14:T57" xr:uid="{00000000-0002-0000-0200-000000000000}">
      <formula1>$AC$12:$AC$20</formula1>
    </dataValidation>
    <dataValidation type="list" allowBlank="1" showInputMessage="1" showErrorMessage="1" sqref="AL14:AL57 AH14:AH57 AD14:AD57 AP14:AP57 AX14:AX57 AT14:AT57" xr:uid="{00000000-0002-0000-0200-000001000000}">
      <formula1>"TD,IEC NI,IEC VI,IEC EI,ANSI IEEE NI,ANSI IEEE SI,ANSI IEEE LI,ANSI IEEE MI,ANSI IEEE VI,ANSI IEEE EI,ANSI U1 MI,ANSI U2 NI,ANSI U3 VI,ANSI U4 EI,ANSI U5 STI"</formula1>
    </dataValidation>
    <dataValidation type="list" allowBlank="1" showInputMessage="1" showErrorMessage="1" sqref="AZ14:BE57" xr:uid="{00000000-0002-0000-0200-000002000000}">
      <formula1>"Ib,Ir,Otro"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uscarRele">
                <anchor moveWithCells="1" sizeWithCells="1">
                  <from>
                    <xdr:col>1</xdr:col>
                    <xdr:colOff>1219200</xdr:colOff>
                    <xdr:row>1</xdr:row>
                    <xdr:rowOff>47625</xdr:rowOff>
                  </from>
                  <to>
                    <xdr:col>4</xdr:col>
                    <xdr:colOff>771525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GeneradorResultados">
                <anchor moveWithCells="1" sizeWithCells="1">
                  <from>
                    <xdr:col>1</xdr:col>
                    <xdr:colOff>1209675</xdr:colOff>
                    <xdr:row>4</xdr:row>
                    <xdr:rowOff>9525</xdr:rowOff>
                  </from>
                  <to>
                    <xdr:col>4</xdr:col>
                    <xdr:colOff>762000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sumenAjustes">
                <anchor moveWithCells="1" sizeWithCells="1">
                  <from>
                    <xdr:col>4</xdr:col>
                    <xdr:colOff>1000125</xdr:colOff>
                    <xdr:row>1</xdr:row>
                    <xdr:rowOff>38100</xdr:rowOff>
                  </from>
                  <to>
                    <xdr:col>8</xdr:col>
                    <xdr:colOff>428625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6"/>
  <sheetViews>
    <sheetView workbookViewId="0">
      <selection activeCell="G17" sqref="G17"/>
    </sheetView>
  </sheetViews>
  <sheetFormatPr baseColWidth="10" defaultRowHeight="15" x14ac:dyDescent="0.25"/>
  <sheetData>
    <row r="1" spans="1:2" x14ac:dyDescent="0.25">
      <c r="A1" t="s">
        <v>669</v>
      </c>
      <c r="B1" t="s">
        <v>670</v>
      </c>
    </row>
    <row r="2" spans="1:2" x14ac:dyDescent="0.25">
      <c r="A2" t="s">
        <v>92</v>
      </c>
      <c r="B2" t="s">
        <v>92</v>
      </c>
    </row>
    <row r="3" spans="1:2" x14ac:dyDescent="0.25">
      <c r="A3" t="s">
        <v>66</v>
      </c>
      <c r="B3" t="s">
        <v>66</v>
      </c>
    </row>
    <row r="4" spans="1:2" x14ac:dyDescent="0.25">
      <c r="A4" t="s">
        <v>82</v>
      </c>
      <c r="B4" t="s">
        <v>178</v>
      </c>
    </row>
    <row r="5" spans="1:2" x14ac:dyDescent="0.25">
      <c r="A5" t="s">
        <v>171</v>
      </c>
      <c r="B5" t="s">
        <v>70</v>
      </c>
    </row>
    <row r="6" spans="1:2" x14ac:dyDescent="0.25">
      <c r="A6" t="s">
        <v>178</v>
      </c>
      <c r="B6" t="s">
        <v>184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pageSetUpPr fitToPage="1"/>
  </sheetPr>
  <dimension ref="A1:Q364"/>
  <sheetViews>
    <sheetView workbookViewId="0"/>
  </sheetViews>
  <sheetFormatPr baseColWidth="10" defaultRowHeight="15" x14ac:dyDescent="0.25"/>
  <cols>
    <col min="1" max="1" width="4.42578125" style="14" customWidth="1"/>
    <col min="2" max="2" width="25.42578125" style="3" customWidth="1"/>
    <col min="3" max="4" width="12.7109375" style="15" bestFit="1" customWidth="1"/>
    <col min="5" max="5" width="9.140625" style="15" bestFit="1" customWidth="1"/>
    <col min="6" max="6" width="12.42578125" style="15" customWidth="1"/>
    <col min="7" max="7" width="10.28515625" style="15" customWidth="1"/>
    <col min="8" max="8" width="12.140625" style="15" customWidth="1"/>
    <col min="9" max="9" width="12" style="15" bestFit="1" customWidth="1"/>
    <col min="10" max="13" width="7" style="15" customWidth="1"/>
    <col min="14" max="17" width="3.140625" style="3" hidden="1" customWidth="1"/>
  </cols>
  <sheetData>
    <row r="1" spans="2:17" ht="11.1" customHeight="1" x14ac:dyDescent="0.25">
      <c r="C1" s="84" t="s">
        <v>25</v>
      </c>
      <c r="D1" s="85"/>
      <c r="E1" s="85"/>
      <c r="F1" s="85"/>
      <c r="G1" s="85"/>
      <c r="H1" s="85"/>
      <c r="I1" s="85"/>
      <c r="J1" s="85"/>
      <c r="K1" s="85"/>
      <c r="L1" s="85"/>
      <c r="M1" s="86"/>
    </row>
    <row r="2" spans="2:17" ht="11.1" customHeight="1" x14ac:dyDescent="0.25">
      <c r="C2" s="87" t="s">
        <v>1</v>
      </c>
      <c r="D2" s="87" t="s">
        <v>37</v>
      </c>
      <c r="E2" s="17" t="s">
        <v>2</v>
      </c>
      <c r="F2" s="17" t="s">
        <v>3</v>
      </c>
      <c r="G2" s="87" t="s">
        <v>26</v>
      </c>
      <c r="H2" s="87" t="s">
        <v>27</v>
      </c>
      <c r="I2" s="87" t="s">
        <v>28</v>
      </c>
      <c r="J2" s="87" t="s">
        <v>29</v>
      </c>
      <c r="K2" s="87"/>
      <c r="L2" s="87"/>
      <c r="M2" s="87"/>
    </row>
    <row r="3" spans="2:17" ht="11.1" customHeight="1" x14ac:dyDescent="0.25">
      <c r="C3" s="87"/>
      <c r="D3" s="87"/>
      <c r="E3" s="87" t="s">
        <v>4</v>
      </c>
      <c r="F3" s="87" t="s">
        <v>5</v>
      </c>
      <c r="G3" s="87" t="s">
        <v>30</v>
      </c>
      <c r="H3" s="87" t="s">
        <v>30</v>
      </c>
      <c r="I3" s="87"/>
      <c r="J3" s="87" t="s">
        <v>53</v>
      </c>
      <c r="K3" s="87"/>
      <c r="L3" s="87" t="s">
        <v>54</v>
      </c>
      <c r="M3" s="87"/>
    </row>
    <row r="4" spans="2:17" ht="11.1" customHeight="1" x14ac:dyDescent="0.25">
      <c r="C4" s="87"/>
      <c r="D4" s="87"/>
      <c r="E4" s="87"/>
      <c r="F4" s="87"/>
      <c r="G4" s="87"/>
      <c r="H4" s="87"/>
      <c r="I4" s="87"/>
      <c r="J4" s="17" t="s">
        <v>31</v>
      </c>
      <c r="K4" s="17" t="s">
        <v>32</v>
      </c>
      <c r="L4" s="17" t="s">
        <v>31</v>
      </c>
      <c r="M4" s="17" t="s">
        <v>32</v>
      </c>
    </row>
    <row r="5" spans="2:17" ht="10.5" customHeight="1" x14ac:dyDescent="0.25">
      <c r="B5" s="3" t="str">
        <f>TABLA1!B14</f>
        <v>R_K3-2-K2</v>
      </c>
      <c r="C5" s="88" t="str">
        <f>VLOOKUP(B5,TABLA1!$B$14:$BF$1596,2,FALSE)</f>
        <v>K3-2</v>
      </c>
      <c r="D5" s="88">
        <f>VLOOKUP(B5,TABLA1!$B$14:$BF$1596,3,FALSE)</f>
        <v>0</v>
      </c>
      <c r="E5" s="88" t="str">
        <f>VLOOKUP(B5,TABLA1!$B$14:$BF$1596,4,FALSE)&amp;"/"&amp;VLOOKUP(B5,TABLA1!$B$14:$BF$1596,5,FALSE)</f>
        <v>L2-2/</v>
      </c>
      <c r="F5" s="88">
        <f>VLOOKUP(B5,TABLA1!$B$14:$BF$1596,7,FALSE)</f>
        <v>5</v>
      </c>
      <c r="G5" s="88"/>
      <c r="H5" s="88"/>
      <c r="I5" s="11" t="s">
        <v>46</v>
      </c>
      <c r="J5" s="16">
        <f>IFERROR(VLOOKUP(B5,TABLA1!$B$14:$BF$1596,27,FALSE),"")</f>
        <v>1.1000000000000001</v>
      </c>
      <c r="K5" s="16">
        <f>IFERROR(VLOOKUP(B5,TABLA1!$B$14:$BF$1596,39,FALSE),)</f>
        <v>0.3</v>
      </c>
      <c r="L5" s="13" t="str">
        <f>IFERROR(VLOOKUP(B6,TABLA1!$B$14:$BF$1596,27,FALSE),"-")</f>
        <v>-</v>
      </c>
      <c r="M5" s="13" t="str">
        <f>IFERROR(VLOOKUP(B6,TABLA1!$B$14:$BF$1596,39,FALSE),"-")</f>
        <v>-</v>
      </c>
      <c r="N5" s="3">
        <v>51</v>
      </c>
      <c r="O5" s="3">
        <v>60</v>
      </c>
      <c r="P5" s="3">
        <f>N5-25</f>
        <v>26</v>
      </c>
      <c r="Q5" s="3">
        <f>O5-25</f>
        <v>35</v>
      </c>
    </row>
    <row r="6" spans="2:17" ht="10.5" customHeight="1" x14ac:dyDescent="0.25">
      <c r="C6" s="88"/>
      <c r="D6" s="88"/>
      <c r="E6" s="88"/>
      <c r="F6" s="88"/>
      <c r="G6" s="88"/>
      <c r="H6" s="88"/>
      <c r="I6" s="20" t="s">
        <v>47</v>
      </c>
      <c r="J6" s="13">
        <f>IFERROR(VLOOKUP(B5,TABLA1!$B$14:$BF$1596,26,FALSE),)</f>
        <v>0</v>
      </c>
      <c r="K6" s="13" t="str">
        <f>IFERROR(VLOOKUP(B5,TABLA1!$B$14:$BF$1596,38,FALSE),)</f>
        <v>-</v>
      </c>
      <c r="L6" s="13" t="str">
        <f>IFERROR(VLOOKUP(B6,TABLA1!$B$14:$BF$1596,26,FALSE),"-")</f>
        <v>-</v>
      </c>
      <c r="M6" s="13" t="str">
        <f>IFERROR(VLOOKUP(B6,TABLA1!$B$14:$BF$1596,38,FALSE),"-")</f>
        <v>-</v>
      </c>
    </row>
    <row r="7" spans="2:17" ht="11.1" customHeight="1" x14ac:dyDescent="0.25">
      <c r="C7" s="88"/>
      <c r="D7" s="88"/>
      <c r="E7" s="88"/>
      <c r="F7" s="88"/>
      <c r="G7" s="88"/>
      <c r="H7" s="88"/>
      <c r="I7" s="11" t="s">
        <v>10</v>
      </c>
      <c r="J7" s="16">
        <f>IFERROR(VLOOKUP(B5,TABLA1!$B$14:$BF$1596,28,FALSE),)</f>
        <v>440.00000000000006</v>
      </c>
      <c r="K7" s="16">
        <f>IFERROR(VLOOKUP(B5,TABLA1!$B$14:$BF$1596,40,FALSE),)</f>
        <v>120</v>
      </c>
      <c r="L7" s="13" t="str">
        <f>IFERROR(VLOOKUP(B6,TABLA1!$B$14:$BF$1596,28,FALSE),"-")</f>
        <v>-</v>
      </c>
      <c r="M7" s="13" t="str">
        <f>IFERROR(VLOOKUP(B6,TABLA1!$B$14:$BF$1596,40,FALSE),"-")</f>
        <v>-</v>
      </c>
      <c r="N7" s="3">
        <v>52</v>
      </c>
      <c r="O7" s="3">
        <v>61</v>
      </c>
      <c r="P7" s="3">
        <f t="shared" ref="P7:P14" si="0">N7-25</f>
        <v>27</v>
      </c>
      <c r="Q7" s="3">
        <f t="shared" ref="Q7:Q14" si="1">O7-25</f>
        <v>36</v>
      </c>
    </row>
    <row r="8" spans="2:17" ht="11.1" customHeight="1" x14ac:dyDescent="0.25">
      <c r="C8" s="88"/>
      <c r="D8" s="88"/>
      <c r="E8" s="88"/>
      <c r="F8" s="88"/>
      <c r="G8" s="88"/>
      <c r="H8" s="88"/>
      <c r="I8" s="11" t="s">
        <v>11</v>
      </c>
      <c r="J8" s="13" t="str">
        <f>IFERROR(VLOOKUP(B5,TABLA1!$B$14:$BF$1596,29,FALSE),)</f>
        <v>IEC NI</v>
      </c>
      <c r="K8" s="13" t="str">
        <f>IFERROR(VLOOKUP(B5,TABLA1!$B$14:$BF$1596,41,FALSE),)</f>
        <v>IEC NI</v>
      </c>
      <c r="L8" s="13" t="str">
        <f>IFERROR(VLOOKUP(B6,TABLA1!$B$14:$BF$1596,29,FALSE),"-")</f>
        <v>-</v>
      </c>
      <c r="M8" s="13" t="str">
        <f>IFERROR(VLOOKUP(B6,TABLA1!$B$14:$BF$1596,41,FALSE),"-")</f>
        <v>-</v>
      </c>
      <c r="N8" s="3">
        <v>53</v>
      </c>
      <c r="O8" s="3">
        <v>62</v>
      </c>
      <c r="P8" s="3">
        <f t="shared" si="0"/>
        <v>28</v>
      </c>
      <c r="Q8" s="3">
        <f t="shared" si="1"/>
        <v>37</v>
      </c>
    </row>
    <row r="9" spans="2:17" ht="11.1" customHeight="1" x14ac:dyDescent="0.25">
      <c r="C9" s="88"/>
      <c r="D9" s="88"/>
      <c r="E9" s="88"/>
      <c r="F9" s="88"/>
      <c r="G9" s="88"/>
      <c r="H9" s="88"/>
      <c r="I9" s="11" t="s">
        <v>48</v>
      </c>
      <c r="J9" s="16" t="str">
        <f>IFERROR(VLOOKUP(B5,TABLA1!$B$14:$BF$1596,31,FALSE),)</f>
        <v>-</v>
      </c>
      <c r="K9" s="16" t="str">
        <f>IFERROR(VLOOKUP(B5,TABLA1!$B$14:$BF$1596,43,FALSE),)</f>
        <v>-</v>
      </c>
      <c r="L9" s="13" t="str">
        <f>IFERROR(VLOOKUP(B6,TABLA1!$B$14:$BF$1596,31,FALSE),"-")</f>
        <v>-</v>
      </c>
      <c r="M9" s="13" t="str">
        <f>IFERROR(VLOOKUP(B6,TABLA1!$B$14:$BF$1596,43,FALSE),"-")</f>
        <v>-</v>
      </c>
      <c r="N9" s="3">
        <v>54</v>
      </c>
      <c r="O9" s="3">
        <v>63</v>
      </c>
      <c r="P9" s="3">
        <f t="shared" si="0"/>
        <v>29</v>
      </c>
      <c r="Q9" s="3">
        <f t="shared" si="1"/>
        <v>38</v>
      </c>
    </row>
    <row r="10" spans="2:17" ht="11.1" customHeight="1" x14ac:dyDescent="0.25">
      <c r="C10" s="88"/>
      <c r="D10" s="88"/>
      <c r="E10" s="88"/>
      <c r="F10" s="88"/>
      <c r="G10" s="88"/>
      <c r="H10" s="88"/>
      <c r="I10" s="20" t="s">
        <v>49</v>
      </c>
      <c r="J10" s="16">
        <f>IFERROR(VLOOKUP(B5,TABLA1!$B$14:$BF$1596,30,FALSE),)</f>
        <v>0.18</v>
      </c>
      <c r="K10" s="16">
        <f>IFERROR(VLOOKUP(B5,TABLA1!$B$14:$BF$1596,42,FALSE),)</f>
        <v>0.18</v>
      </c>
      <c r="L10" s="13" t="str">
        <f>IFERROR(VLOOKUP(B6,TABLA1!$B$14:$BF$1596,30,FALSE),"-")</f>
        <v>-</v>
      </c>
      <c r="M10" s="13" t="str">
        <f>IFERROR(VLOOKUP(B6,TABLA1!$B$14:$BF$1596,42,FALSE),"-")</f>
        <v>-</v>
      </c>
    </row>
    <row r="11" spans="2:17" ht="11.1" customHeight="1" x14ac:dyDescent="0.25">
      <c r="C11" s="88"/>
      <c r="D11" s="88"/>
      <c r="E11" s="88"/>
      <c r="F11" s="88"/>
      <c r="G11" s="88"/>
      <c r="H11" s="88"/>
      <c r="I11" s="11" t="s">
        <v>33</v>
      </c>
      <c r="J11" s="16" t="str">
        <f>IFERROR(VLOOKUP(B5,TABLA1!$B$14:$BF$1596,32,FALSE),)</f>
        <v>-</v>
      </c>
      <c r="K11" s="16" t="str">
        <f>IFERROR(VLOOKUP(B5,TABLA1!$B$14:$BF$1596,44,FALSE),)</f>
        <v>-</v>
      </c>
      <c r="L11" s="13" t="str">
        <f>IFERROR(VLOOKUP(B6,TABLA1!$B$14:$BF$1596,32,FALSE),"-")</f>
        <v>-</v>
      </c>
      <c r="M11" s="13" t="str">
        <f>IFERROR(VLOOKUP(B6,TABLA1!$B$14:$BF$1596,44,FALSE),"-")</f>
        <v>-</v>
      </c>
      <c r="N11" s="3">
        <v>56</v>
      </c>
      <c r="O11" s="3">
        <v>65</v>
      </c>
      <c r="P11" s="3">
        <f t="shared" si="0"/>
        <v>31</v>
      </c>
      <c r="Q11" s="3">
        <f t="shared" si="1"/>
        <v>40</v>
      </c>
    </row>
    <row r="12" spans="2:17" ht="11.1" customHeight="1" x14ac:dyDescent="0.25">
      <c r="C12" s="88"/>
      <c r="D12" s="88"/>
      <c r="E12" s="88"/>
      <c r="F12" s="88"/>
      <c r="G12" s="88"/>
      <c r="H12" s="88"/>
      <c r="I12" s="20" t="s">
        <v>50</v>
      </c>
      <c r="J12" s="16" t="str">
        <f>IFERROR(VLOOKUP(B5,TABLA1!$B$14:$BF$1596,35,FALSE),)</f>
        <v>-</v>
      </c>
      <c r="K12" s="16" t="str">
        <f>IFERROR(VLOOKUP(B5,TABLA1!$B$14:$BF$1596,47,FALSE),)</f>
        <v>-</v>
      </c>
      <c r="L12" s="13" t="str">
        <f>IFERROR(VLOOKUP(B6,TABLA1!$B$14:$BF$1596,35,FALSE),"-")</f>
        <v>-</v>
      </c>
      <c r="M12" s="13" t="str">
        <f>IFERROR(VLOOKUP(B6,TABLA1!$B$14:$BF$1596,47,FALSE),"-")</f>
        <v>-</v>
      </c>
      <c r="N12" s="3">
        <v>57</v>
      </c>
      <c r="O12" s="3">
        <v>66</v>
      </c>
      <c r="P12" s="3">
        <f t="shared" si="0"/>
        <v>32</v>
      </c>
      <c r="Q12" s="3">
        <f t="shared" si="1"/>
        <v>41</v>
      </c>
    </row>
    <row r="13" spans="2:17" ht="11.1" customHeight="1" x14ac:dyDescent="0.25">
      <c r="C13" s="88"/>
      <c r="D13" s="88"/>
      <c r="E13" s="88"/>
      <c r="F13" s="88"/>
      <c r="G13" s="88"/>
      <c r="H13" s="88"/>
      <c r="I13" s="20" t="s">
        <v>51</v>
      </c>
      <c r="J13" s="16" t="str">
        <f>IFERROR(VLOOKUP(B5,TABLA1!$B$14:$BF$1596,34,FALSE),)</f>
        <v>-</v>
      </c>
      <c r="K13" s="16" t="str">
        <f>IFERROR(VLOOKUP(B5,TABLA1!$B$14:$BF$1596,46,FALSE),)</f>
        <v>-</v>
      </c>
      <c r="L13" s="13" t="str">
        <f>IFERROR(VLOOKUP(B6,TABLA1!$B$14:$BF$1596,34,FALSE),"-")</f>
        <v>-</v>
      </c>
      <c r="M13" s="13" t="str">
        <f>IFERROR(VLOOKUP(B6,TABLA1!$B$14:$BF$1596,46,FALSE),"-")</f>
        <v>-</v>
      </c>
    </row>
    <row r="14" spans="2:17" ht="11.1" customHeight="1" x14ac:dyDescent="0.25">
      <c r="C14" s="88"/>
      <c r="D14" s="88"/>
      <c r="E14" s="88"/>
      <c r="F14" s="88"/>
      <c r="G14" s="88"/>
      <c r="H14" s="88"/>
      <c r="I14" s="11" t="s">
        <v>34</v>
      </c>
      <c r="J14" s="16" t="str">
        <f>IFERROR(VLOOKUP(B5,TABLA1!$B$14:$BF$1596,36,FALSE),)</f>
        <v>-</v>
      </c>
      <c r="K14" s="16" t="str">
        <f>IFERROR(VLOOKUP(B5,TABLA1!$B$14:$BF$1596,48,FALSE),)</f>
        <v>-</v>
      </c>
      <c r="L14" s="13" t="str">
        <f>IFERROR(VLOOKUP(B6,TABLA1!$B$14:$BF$1596,36,FALSE),"-")</f>
        <v>-</v>
      </c>
      <c r="M14" s="13" t="str">
        <f>IFERROR(VLOOKUP(B6,TABLA1!$B$14:$BF$1596,48,FALSE),"-")</f>
        <v>-</v>
      </c>
      <c r="N14" s="3">
        <v>59</v>
      </c>
      <c r="O14" s="3">
        <v>68</v>
      </c>
      <c r="P14" s="3">
        <f t="shared" si="0"/>
        <v>34</v>
      </c>
      <c r="Q14" s="3">
        <f t="shared" si="1"/>
        <v>43</v>
      </c>
    </row>
    <row r="15" spans="2:17" ht="11.1" customHeight="1" x14ac:dyDescent="0.25">
      <c r="C15" s="88"/>
      <c r="D15" s="88"/>
      <c r="E15" s="88"/>
      <c r="F15" s="88"/>
      <c r="G15" s="88"/>
      <c r="H15" s="88"/>
      <c r="I15" s="11" t="s">
        <v>35</v>
      </c>
      <c r="J15" s="16"/>
      <c r="K15" s="16"/>
      <c r="L15" s="13"/>
      <c r="M15" s="13"/>
    </row>
    <row r="16" spans="2:17" ht="11.1" customHeight="1" x14ac:dyDescent="0.25">
      <c r="C16" s="88"/>
      <c r="D16" s="88"/>
      <c r="E16" s="88"/>
      <c r="F16" s="88"/>
      <c r="G16" s="88"/>
      <c r="H16" s="88"/>
      <c r="I16" s="11" t="s">
        <v>36</v>
      </c>
      <c r="J16" s="13"/>
      <c r="K16" s="13"/>
      <c r="L16" s="13"/>
      <c r="M16" s="13"/>
    </row>
    <row r="17" spans="2:17" x14ac:dyDescent="0.25">
      <c r="B17" s="3" t="str">
        <f>TABLA1!A15</f>
        <v>R_TR</v>
      </c>
      <c r="C17" s="88" t="str">
        <f>VLOOKUP(B17,TABLA1!$B$14:$BF$1596,2,FALSE)</f>
        <v>K4-2</v>
      </c>
      <c r="D17" s="88">
        <f>VLOOKUP(B17,TABLA1!$B$14:$BF$1596,3,FALSE)</f>
        <v>0</v>
      </c>
      <c r="E17" s="88" t="str">
        <f>VLOOKUP(B17,TABLA1!$B$14:$BF$1596,4,FALSE)&amp;"/"&amp;VLOOKUP(B17,TABLA1!$B$14:$BF$1596,5,FALSE)</f>
        <v>TR1/</v>
      </c>
      <c r="F17" s="88">
        <f>VLOOKUP(B17,TABLA1!$B$14:$BF$1596,7,FALSE)</f>
        <v>5</v>
      </c>
      <c r="G17" s="88"/>
      <c r="H17" s="88"/>
      <c r="I17" s="20" t="s">
        <v>46</v>
      </c>
      <c r="J17" s="16">
        <f>IFERROR(VLOOKUP(B17,TABLA1!$B$14:$BF$1596,27,FALSE),"")</f>
        <v>0.8</v>
      </c>
      <c r="K17" s="16">
        <f>IFERROR(VLOOKUP(B17,TABLA1!$B$14:$BF$1596,39,FALSE),)</f>
        <v>0.25</v>
      </c>
      <c r="L17" s="13" t="str">
        <f>IFERROR(VLOOKUP(B18,TABLA1!$B$14:$BF$1596,27,FALSE),"-")</f>
        <v>-</v>
      </c>
      <c r="M17" s="13" t="str">
        <f>IFERROR(VLOOKUP(B18,TABLA1!$B$14:$BF$1596,39,FALSE),"-")</f>
        <v>-</v>
      </c>
      <c r="N17" s="3">
        <v>51</v>
      </c>
      <c r="O17" s="3">
        <v>60</v>
      </c>
      <c r="P17" s="3">
        <f>N17-25</f>
        <v>26</v>
      </c>
      <c r="Q17" s="3">
        <f>O17-25</f>
        <v>35</v>
      </c>
    </row>
    <row r="18" spans="2:17" x14ac:dyDescent="0.25">
      <c r="C18" s="88"/>
      <c r="D18" s="88"/>
      <c r="E18" s="88"/>
      <c r="F18" s="88"/>
      <c r="G18" s="88"/>
      <c r="H18" s="88"/>
      <c r="I18" s="20" t="s">
        <v>47</v>
      </c>
      <c r="J18" s="13">
        <f>IFERROR(VLOOKUP(B17,TABLA1!$B$14:$BF$1596,26,FALSE),)</f>
        <v>0</v>
      </c>
      <c r="K18" s="13" t="str">
        <f>IFERROR(VLOOKUP(B17,TABLA1!$B$14:$BF$1596,38,FALSE),)</f>
        <v>-</v>
      </c>
      <c r="L18" s="13" t="str">
        <f>IFERROR(VLOOKUP(B18,TABLA1!$B$14:$BF$1596,26,FALSE),"-")</f>
        <v>-</v>
      </c>
      <c r="M18" s="13" t="str">
        <f>IFERROR(VLOOKUP(B18,TABLA1!$B$14:$BF$1596,38,FALSE),"-")</f>
        <v>-</v>
      </c>
    </row>
    <row r="19" spans="2:17" x14ac:dyDescent="0.25">
      <c r="C19" s="88"/>
      <c r="D19" s="88"/>
      <c r="E19" s="88"/>
      <c r="F19" s="88"/>
      <c r="G19" s="88"/>
      <c r="H19" s="88"/>
      <c r="I19" s="20" t="s">
        <v>10</v>
      </c>
      <c r="J19" s="16">
        <f>IFERROR(VLOOKUP(B17,TABLA1!$B$14:$BF$1596,28,FALSE),)</f>
        <v>80</v>
      </c>
      <c r="K19" s="16">
        <f>IFERROR(VLOOKUP(B17,TABLA1!$B$14:$BF$1596,40,FALSE),)</f>
        <v>25</v>
      </c>
      <c r="L19" s="13" t="str">
        <f>IFERROR(VLOOKUP(B18,TABLA1!$B$14:$BF$1596,28,FALSE),"-")</f>
        <v>-</v>
      </c>
      <c r="M19" s="13" t="str">
        <f>IFERROR(VLOOKUP(B18,TABLA1!$B$14:$BF$1596,40,FALSE),"-")</f>
        <v>-</v>
      </c>
    </row>
    <row r="20" spans="2:17" x14ac:dyDescent="0.25">
      <c r="C20" s="88"/>
      <c r="D20" s="88"/>
      <c r="E20" s="88"/>
      <c r="F20" s="88"/>
      <c r="G20" s="88"/>
      <c r="H20" s="88"/>
      <c r="I20" s="20" t="s">
        <v>11</v>
      </c>
      <c r="J20" s="13" t="str">
        <f>IFERROR(VLOOKUP(B17,TABLA1!$B$14:$BF$1596,29,FALSE),)</f>
        <v>IEC NI</v>
      </c>
      <c r="K20" s="13" t="str">
        <f>IFERROR(VLOOKUP(B17,TABLA1!$B$14:$BF$1596,41,FALSE),)</f>
        <v>IEC NI</v>
      </c>
      <c r="L20" s="13" t="str">
        <f>IFERROR(VLOOKUP(B18,TABLA1!$B$14:$BF$1596,29,FALSE),"-")</f>
        <v>-</v>
      </c>
      <c r="M20" s="13" t="str">
        <f>IFERROR(VLOOKUP(B18,TABLA1!$B$14:$BF$1596,41,FALSE),"-")</f>
        <v>-</v>
      </c>
    </row>
    <row r="21" spans="2:17" x14ac:dyDescent="0.25">
      <c r="C21" s="88"/>
      <c r="D21" s="88"/>
      <c r="E21" s="88"/>
      <c r="F21" s="88"/>
      <c r="G21" s="88"/>
      <c r="H21" s="88"/>
      <c r="I21" s="20" t="s">
        <v>48</v>
      </c>
      <c r="J21" s="16" t="str">
        <f>IFERROR(VLOOKUP(B17,TABLA1!$B$14:$BF$1596,31,FALSE),)</f>
        <v>-</v>
      </c>
      <c r="K21" s="16" t="str">
        <f>IFERROR(VLOOKUP(B17,TABLA1!$B$14:$BF$1596,43,FALSE),)</f>
        <v>-</v>
      </c>
      <c r="L21" s="13" t="str">
        <f>IFERROR(VLOOKUP(B18,TABLA1!$B$14:$BF$1596,31,FALSE),"-")</f>
        <v>-</v>
      </c>
      <c r="M21" s="13" t="str">
        <f>IFERROR(VLOOKUP(B18,TABLA1!$B$14:$BF$1596,43,FALSE),"-")</f>
        <v>-</v>
      </c>
      <c r="N21" s="3">
        <v>52</v>
      </c>
      <c r="O21" s="3">
        <v>61</v>
      </c>
      <c r="P21" s="3">
        <f t="shared" ref="P21:P26" si="2">N21-25</f>
        <v>27</v>
      </c>
      <c r="Q21" s="3">
        <f t="shared" ref="Q21:Q26" si="3">O21-25</f>
        <v>36</v>
      </c>
    </row>
    <row r="22" spans="2:17" x14ac:dyDescent="0.25">
      <c r="C22" s="88"/>
      <c r="D22" s="88"/>
      <c r="E22" s="88"/>
      <c r="F22" s="88"/>
      <c r="G22" s="88"/>
      <c r="H22" s="88"/>
      <c r="I22" s="20" t="s">
        <v>49</v>
      </c>
      <c r="J22" s="16">
        <f>IFERROR(VLOOKUP(B17,TABLA1!$B$14:$BF$1596,30,FALSE),)</f>
        <v>0.18</v>
      </c>
      <c r="K22" s="16">
        <f>IFERROR(VLOOKUP(B17,TABLA1!$B$14:$BF$1596,42,FALSE),)</f>
        <v>0.18</v>
      </c>
      <c r="L22" s="13" t="str">
        <f>IFERROR(VLOOKUP(B18,TABLA1!$B$14:$BF$1596,30,FALSE),"-")</f>
        <v>-</v>
      </c>
      <c r="M22" s="13" t="str">
        <f>IFERROR(VLOOKUP(B18,TABLA1!$B$14:$BF$1596,42,FALSE),"-")</f>
        <v>-</v>
      </c>
      <c r="N22" s="3">
        <v>53</v>
      </c>
      <c r="O22" s="3">
        <v>62</v>
      </c>
      <c r="P22" s="3">
        <f t="shared" si="2"/>
        <v>28</v>
      </c>
      <c r="Q22" s="3">
        <f t="shared" si="3"/>
        <v>37</v>
      </c>
    </row>
    <row r="23" spans="2:17" x14ac:dyDescent="0.25">
      <c r="C23" s="88"/>
      <c r="D23" s="88"/>
      <c r="E23" s="88"/>
      <c r="F23" s="88"/>
      <c r="G23" s="88"/>
      <c r="H23" s="88"/>
      <c r="I23" s="20" t="s">
        <v>33</v>
      </c>
      <c r="J23" s="16" t="str">
        <f>IFERROR(VLOOKUP(B17,TABLA1!$B$14:$BF$1596,32,FALSE),)</f>
        <v>-</v>
      </c>
      <c r="K23" s="16" t="str">
        <f>IFERROR(VLOOKUP(B17,TABLA1!$B$14:$BF$1596,44,FALSE),)</f>
        <v>-</v>
      </c>
      <c r="L23" s="13" t="str">
        <f>IFERROR(VLOOKUP(B18,TABLA1!$B$14:$BF$1596,32,FALSE),"-")</f>
        <v>-</v>
      </c>
      <c r="M23" s="13" t="str">
        <f>IFERROR(VLOOKUP(B18,TABLA1!$B$14:$BF$1596,44,FALSE),"-")</f>
        <v>-</v>
      </c>
      <c r="N23" s="3">
        <v>54</v>
      </c>
      <c r="O23" s="3">
        <v>63</v>
      </c>
      <c r="P23" s="3">
        <f t="shared" si="2"/>
        <v>29</v>
      </c>
      <c r="Q23" s="3">
        <f t="shared" si="3"/>
        <v>38</v>
      </c>
    </row>
    <row r="24" spans="2:17" x14ac:dyDescent="0.25">
      <c r="C24" s="88"/>
      <c r="D24" s="88"/>
      <c r="E24" s="88"/>
      <c r="F24" s="88"/>
      <c r="G24" s="88"/>
      <c r="H24" s="88"/>
      <c r="I24" s="20" t="s">
        <v>50</v>
      </c>
      <c r="J24" s="16" t="str">
        <f>IFERROR(VLOOKUP(B17,TABLA1!$B$14:$BF$1596,35,FALSE),)</f>
        <v>-</v>
      </c>
      <c r="K24" s="16" t="str">
        <f>IFERROR(VLOOKUP(B17,TABLA1!$B$14:$BF$1596,47,FALSE),)</f>
        <v>-</v>
      </c>
      <c r="L24" s="13" t="str">
        <f>IFERROR(VLOOKUP(B18,TABLA1!$B$14:$BF$1596,35,FALSE),"-")</f>
        <v>-</v>
      </c>
      <c r="M24" s="13" t="str">
        <f>IFERROR(VLOOKUP(B18,TABLA1!$B$14:$BF$1596,47,FALSE),"-")</f>
        <v>-</v>
      </c>
      <c r="N24" s="3">
        <v>56</v>
      </c>
      <c r="O24" s="3">
        <v>65</v>
      </c>
      <c r="P24" s="3">
        <f t="shared" si="2"/>
        <v>31</v>
      </c>
      <c r="Q24" s="3">
        <f t="shared" si="3"/>
        <v>40</v>
      </c>
    </row>
    <row r="25" spans="2:17" x14ac:dyDescent="0.25">
      <c r="C25" s="88"/>
      <c r="D25" s="88"/>
      <c r="E25" s="88"/>
      <c r="F25" s="88"/>
      <c r="G25" s="88"/>
      <c r="H25" s="88"/>
      <c r="I25" s="20" t="s">
        <v>51</v>
      </c>
      <c r="J25" s="16" t="str">
        <f>IFERROR(VLOOKUP(B17,TABLA1!$B$14:$BF$1596,34,FALSE),)</f>
        <v>-</v>
      </c>
      <c r="K25" s="16" t="str">
        <f>IFERROR(VLOOKUP(B17,TABLA1!$B$14:$BF$1596,46,FALSE),)</f>
        <v>-</v>
      </c>
      <c r="L25" s="13" t="str">
        <f>IFERROR(VLOOKUP(B18,TABLA1!$B$14:$BF$1596,34,FALSE),"-")</f>
        <v>-</v>
      </c>
      <c r="M25" s="13" t="str">
        <f>IFERROR(VLOOKUP(B18,TABLA1!$B$14:$BF$1596,46,FALSE),"-")</f>
        <v>-</v>
      </c>
      <c r="N25" s="3">
        <v>57</v>
      </c>
      <c r="O25" s="3">
        <v>66</v>
      </c>
      <c r="P25" s="3">
        <f t="shared" si="2"/>
        <v>32</v>
      </c>
      <c r="Q25" s="3">
        <f t="shared" si="3"/>
        <v>41</v>
      </c>
    </row>
    <row r="26" spans="2:17" x14ac:dyDescent="0.25">
      <c r="C26" s="88"/>
      <c r="D26" s="88"/>
      <c r="E26" s="88"/>
      <c r="F26" s="88"/>
      <c r="G26" s="88"/>
      <c r="H26" s="88"/>
      <c r="I26" s="20" t="s">
        <v>34</v>
      </c>
      <c r="J26" s="16" t="str">
        <f>IFERROR(VLOOKUP(B17,TABLA1!$B$14:$BF$1596,36,FALSE),)</f>
        <v>-</v>
      </c>
      <c r="K26" s="16" t="str">
        <f>IFERROR(VLOOKUP(B17,TABLA1!$B$14:$BF$1596,48,FALSE),)</f>
        <v>-</v>
      </c>
      <c r="L26" s="13" t="str">
        <f>IFERROR(VLOOKUP(B18,TABLA1!$B$14:$BF$1596,36,FALSE),"-")</f>
        <v>-</v>
      </c>
      <c r="M26" s="13" t="str">
        <f>IFERROR(VLOOKUP(B18,TABLA1!$B$14:$BF$1596,48,FALSE),"-")</f>
        <v>-</v>
      </c>
      <c r="N26" s="3">
        <v>59</v>
      </c>
      <c r="O26" s="3">
        <v>68</v>
      </c>
      <c r="P26" s="3">
        <f t="shared" si="2"/>
        <v>34</v>
      </c>
      <c r="Q26" s="3">
        <f t="shared" si="3"/>
        <v>43</v>
      </c>
    </row>
    <row r="27" spans="2:17" x14ac:dyDescent="0.25">
      <c r="C27" s="88"/>
      <c r="D27" s="88"/>
      <c r="E27" s="88"/>
      <c r="F27" s="88"/>
      <c r="G27" s="88"/>
      <c r="H27" s="88"/>
      <c r="I27" s="20" t="s">
        <v>35</v>
      </c>
      <c r="J27" s="16"/>
      <c r="K27" s="16"/>
      <c r="L27" s="13"/>
      <c r="M27" s="13"/>
    </row>
    <row r="28" spans="2:17" x14ac:dyDescent="0.25">
      <c r="C28" s="88"/>
      <c r="D28" s="88"/>
      <c r="E28" s="88"/>
      <c r="F28" s="88"/>
      <c r="G28" s="88"/>
      <c r="H28" s="88"/>
      <c r="I28" s="20" t="s">
        <v>36</v>
      </c>
      <c r="J28" s="13"/>
      <c r="K28" s="13"/>
      <c r="L28" s="13"/>
      <c r="M28" s="13"/>
    </row>
    <row r="29" spans="2:17" x14ac:dyDescent="0.25">
      <c r="B29" s="3" t="str">
        <f>TABLA1!A16</f>
        <v>R_TR-K3-2</v>
      </c>
      <c r="C29" s="88" t="str">
        <f>VLOOKUP(B29,TABLA1!$B$14:$BF$1596,2,FALSE)</f>
        <v>K4-2</v>
      </c>
      <c r="D29" s="88">
        <f>VLOOKUP(B29,TABLA1!$B$14:$BF$1596,3,FALSE)</f>
        <v>0</v>
      </c>
      <c r="E29" s="88" t="str">
        <f>VLOOKUP(B29,TABLA1!$B$14:$BF$1596,4,FALSE)&amp;"/"&amp;VLOOKUP(B29,TABLA1!$B$14:$BF$1596,5,FALSE)</f>
        <v>L3-2/</v>
      </c>
      <c r="F29" s="88">
        <f>VLOOKUP(B29,TABLA1!$B$14:$BF$1596,7,FALSE)</f>
        <v>5</v>
      </c>
      <c r="G29" s="88"/>
      <c r="H29" s="88"/>
      <c r="I29" s="20" t="s">
        <v>46</v>
      </c>
      <c r="J29" s="16">
        <f>IFERROR(VLOOKUP(B29,TABLA1!$B$14:$BF$1596,27,FALSE),"")</f>
        <v>1.1000000000000001</v>
      </c>
      <c r="K29" s="16">
        <f>IFERROR(VLOOKUP(B29,TABLA1!$B$14:$BF$1596,39,FALSE),)</f>
        <v>0.3</v>
      </c>
      <c r="L29" s="13" t="str">
        <f>IFERROR(VLOOKUP(B30,TABLA1!$B$14:$BF$1596,27,FALSE),"-")</f>
        <v>-</v>
      </c>
      <c r="M29" s="13" t="str">
        <f>IFERROR(VLOOKUP(B30,TABLA1!$B$14:$BF$1596,39,FALSE),"-")</f>
        <v>-</v>
      </c>
      <c r="N29" s="3">
        <v>51</v>
      </c>
      <c r="O29" s="3">
        <v>60</v>
      </c>
      <c r="P29" s="3">
        <f>N29-25</f>
        <v>26</v>
      </c>
      <c r="Q29" s="3">
        <f>O29-25</f>
        <v>35</v>
      </c>
    </row>
    <row r="30" spans="2:17" x14ac:dyDescent="0.25">
      <c r="C30" s="88"/>
      <c r="D30" s="88"/>
      <c r="E30" s="88"/>
      <c r="F30" s="88"/>
      <c r="G30" s="88"/>
      <c r="H30" s="88"/>
      <c r="I30" s="20" t="s">
        <v>47</v>
      </c>
      <c r="J30" s="13">
        <f>IFERROR(VLOOKUP(B29,TABLA1!$B$14:$BF$1596,26,FALSE),)</f>
        <v>0</v>
      </c>
      <c r="K30" s="13" t="str">
        <f>IFERROR(VLOOKUP(B29,TABLA1!$B$14:$BF$1596,38,FALSE),)</f>
        <v>-</v>
      </c>
      <c r="L30" s="13" t="str">
        <f>IFERROR(VLOOKUP(B30,TABLA1!$B$14:$BF$1596,26,FALSE),"-")</f>
        <v>-</v>
      </c>
      <c r="M30" s="13" t="str">
        <f>IFERROR(VLOOKUP(B30,TABLA1!$B$14:$BF$1596,38,FALSE),"-")</f>
        <v>-</v>
      </c>
    </row>
    <row r="31" spans="2:17" x14ac:dyDescent="0.25">
      <c r="C31" s="88"/>
      <c r="D31" s="88"/>
      <c r="E31" s="88"/>
      <c r="F31" s="88"/>
      <c r="G31" s="88"/>
      <c r="H31" s="88"/>
      <c r="I31" s="20" t="s">
        <v>10</v>
      </c>
      <c r="J31" s="16">
        <f>IFERROR(VLOOKUP(B29,TABLA1!$B$14:$BF$1596,28,FALSE),)</f>
        <v>440.00000000000006</v>
      </c>
      <c r="K31" s="16">
        <f>IFERROR(VLOOKUP(B29,TABLA1!$B$14:$BF$1596,40,FALSE),)</f>
        <v>120</v>
      </c>
      <c r="L31" s="13" t="str">
        <f>IFERROR(VLOOKUP(B30,TABLA1!$B$14:$BF$1596,28,FALSE),"-")</f>
        <v>-</v>
      </c>
      <c r="M31" s="13" t="str">
        <f>IFERROR(VLOOKUP(B30,TABLA1!$B$14:$BF$1596,40,FALSE),"-")</f>
        <v>-</v>
      </c>
    </row>
    <row r="32" spans="2:17" x14ac:dyDescent="0.25">
      <c r="C32" s="88"/>
      <c r="D32" s="88"/>
      <c r="E32" s="88"/>
      <c r="F32" s="88"/>
      <c r="G32" s="88"/>
      <c r="H32" s="88"/>
      <c r="I32" s="20" t="s">
        <v>11</v>
      </c>
      <c r="J32" s="13" t="str">
        <f>IFERROR(VLOOKUP(B29,TABLA1!$B$14:$BF$1596,29,FALSE),)</f>
        <v>IEC NI</v>
      </c>
      <c r="K32" s="13" t="str">
        <f>IFERROR(VLOOKUP(B29,TABLA1!$B$14:$BF$1596,41,FALSE),)</f>
        <v>IEC NI</v>
      </c>
      <c r="L32" s="13" t="str">
        <f>IFERROR(VLOOKUP(B30,TABLA1!$B$14:$BF$1596,29,FALSE),"-")</f>
        <v>-</v>
      </c>
      <c r="M32" s="13" t="str">
        <f>IFERROR(VLOOKUP(B30,TABLA1!$B$14:$BF$1596,41,FALSE),"-")</f>
        <v>-</v>
      </c>
    </row>
    <row r="33" spans="2:17" x14ac:dyDescent="0.25">
      <c r="C33" s="88"/>
      <c r="D33" s="88"/>
      <c r="E33" s="88"/>
      <c r="F33" s="88"/>
      <c r="G33" s="88"/>
      <c r="H33" s="88"/>
      <c r="I33" s="20" t="s">
        <v>48</v>
      </c>
      <c r="J33" s="16" t="str">
        <f>IFERROR(VLOOKUP(B29,TABLA1!$B$14:$BF$1596,31,FALSE),)</f>
        <v>-</v>
      </c>
      <c r="K33" s="16" t="str">
        <f>IFERROR(VLOOKUP(B29,TABLA1!$B$14:$BF$1596,43,FALSE),)</f>
        <v>-</v>
      </c>
      <c r="L33" s="13" t="str">
        <f>IFERROR(VLOOKUP(B30,TABLA1!$B$14:$BF$1596,31,FALSE),"-")</f>
        <v>-</v>
      </c>
      <c r="M33" s="13" t="str">
        <f>IFERROR(VLOOKUP(B30,TABLA1!$B$14:$BF$1596,43,FALSE),"-")</f>
        <v>-</v>
      </c>
      <c r="N33" s="3">
        <v>52</v>
      </c>
      <c r="O33" s="3">
        <v>61</v>
      </c>
      <c r="P33" s="3">
        <f t="shared" ref="P33:P38" si="4">N33-25</f>
        <v>27</v>
      </c>
      <c r="Q33" s="3">
        <f t="shared" ref="Q33:Q38" si="5">O33-25</f>
        <v>36</v>
      </c>
    </row>
    <row r="34" spans="2:17" x14ac:dyDescent="0.25">
      <c r="C34" s="88"/>
      <c r="D34" s="88"/>
      <c r="E34" s="88"/>
      <c r="F34" s="88"/>
      <c r="G34" s="88"/>
      <c r="H34" s="88"/>
      <c r="I34" s="20" t="s">
        <v>49</v>
      </c>
      <c r="J34" s="16">
        <f>IFERROR(VLOOKUP(B29,TABLA1!$B$14:$BF$1596,30,FALSE),)</f>
        <v>0.18</v>
      </c>
      <c r="K34" s="16">
        <f>IFERROR(VLOOKUP(B29,TABLA1!$B$14:$BF$1596,42,FALSE),)</f>
        <v>0.18</v>
      </c>
      <c r="L34" s="13" t="str">
        <f>IFERROR(VLOOKUP(B30,TABLA1!$B$14:$BF$1596,30,FALSE),"-")</f>
        <v>-</v>
      </c>
      <c r="M34" s="13" t="str">
        <f>IFERROR(VLOOKUP(B30,TABLA1!$B$14:$BF$1596,42,FALSE),"-")</f>
        <v>-</v>
      </c>
      <c r="N34" s="3">
        <v>53</v>
      </c>
      <c r="O34" s="3">
        <v>62</v>
      </c>
      <c r="P34" s="3">
        <f t="shared" si="4"/>
        <v>28</v>
      </c>
      <c r="Q34" s="3">
        <f t="shared" si="5"/>
        <v>37</v>
      </c>
    </row>
    <row r="35" spans="2:17" x14ac:dyDescent="0.25">
      <c r="C35" s="88"/>
      <c r="D35" s="88"/>
      <c r="E35" s="88"/>
      <c r="F35" s="88"/>
      <c r="G35" s="88"/>
      <c r="H35" s="88"/>
      <c r="I35" s="20" t="s">
        <v>33</v>
      </c>
      <c r="J35" s="16" t="str">
        <f>IFERROR(VLOOKUP(B29,TABLA1!$B$14:$BF$1596,32,FALSE),)</f>
        <v>-</v>
      </c>
      <c r="K35" s="16" t="str">
        <f>IFERROR(VLOOKUP(B29,TABLA1!$B$14:$BF$1596,44,FALSE),)</f>
        <v>-</v>
      </c>
      <c r="L35" s="13" t="str">
        <f>IFERROR(VLOOKUP(B30,TABLA1!$B$14:$BF$1596,32,FALSE),"-")</f>
        <v>-</v>
      </c>
      <c r="M35" s="13" t="str">
        <f>IFERROR(VLOOKUP(B30,TABLA1!$B$14:$BF$1596,44,FALSE),"-")</f>
        <v>-</v>
      </c>
      <c r="N35" s="3">
        <v>54</v>
      </c>
      <c r="O35" s="3">
        <v>63</v>
      </c>
      <c r="P35" s="3">
        <f t="shared" si="4"/>
        <v>29</v>
      </c>
      <c r="Q35" s="3">
        <f t="shared" si="5"/>
        <v>38</v>
      </c>
    </row>
    <row r="36" spans="2:17" x14ac:dyDescent="0.25">
      <c r="C36" s="88"/>
      <c r="D36" s="88"/>
      <c r="E36" s="88"/>
      <c r="F36" s="88"/>
      <c r="G36" s="88"/>
      <c r="H36" s="88"/>
      <c r="I36" s="20" t="s">
        <v>50</v>
      </c>
      <c r="J36" s="16" t="str">
        <f>IFERROR(VLOOKUP(B29,TABLA1!$B$14:$BF$1596,35,FALSE),)</f>
        <v>-</v>
      </c>
      <c r="K36" s="16" t="str">
        <f>IFERROR(VLOOKUP(B29,TABLA1!$B$14:$BF$1596,47,FALSE),)</f>
        <v>-</v>
      </c>
      <c r="L36" s="13" t="str">
        <f>IFERROR(VLOOKUP(B30,TABLA1!$B$14:$BF$1596,35,FALSE),"-")</f>
        <v>-</v>
      </c>
      <c r="M36" s="13" t="str">
        <f>IFERROR(VLOOKUP(B30,TABLA1!$B$14:$BF$1596,47,FALSE),"-")</f>
        <v>-</v>
      </c>
      <c r="N36" s="3">
        <v>56</v>
      </c>
      <c r="O36" s="3">
        <v>65</v>
      </c>
      <c r="P36" s="3">
        <f t="shared" si="4"/>
        <v>31</v>
      </c>
      <c r="Q36" s="3">
        <f t="shared" si="5"/>
        <v>40</v>
      </c>
    </row>
    <row r="37" spans="2:17" x14ac:dyDescent="0.25">
      <c r="C37" s="88"/>
      <c r="D37" s="88"/>
      <c r="E37" s="88"/>
      <c r="F37" s="88"/>
      <c r="G37" s="88"/>
      <c r="H37" s="88"/>
      <c r="I37" s="20" t="s">
        <v>51</v>
      </c>
      <c r="J37" s="16" t="str">
        <f>IFERROR(VLOOKUP(B29,TABLA1!$B$14:$BF$1596,34,FALSE),)</f>
        <v>-</v>
      </c>
      <c r="K37" s="16" t="str">
        <f>IFERROR(VLOOKUP(B29,TABLA1!$B$14:$BF$1596,46,FALSE),)</f>
        <v>-</v>
      </c>
      <c r="L37" s="13" t="str">
        <f>IFERROR(VLOOKUP(B30,TABLA1!$B$14:$BF$1596,34,FALSE),"-")</f>
        <v>-</v>
      </c>
      <c r="M37" s="13" t="str">
        <f>IFERROR(VLOOKUP(B30,TABLA1!$B$14:$BF$1596,46,FALSE),"-")</f>
        <v>-</v>
      </c>
      <c r="N37" s="3">
        <v>57</v>
      </c>
      <c r="O37" s="3">
        <v>66</v>
      </c>
      <c r="P37" s="3">
        <f t="shared" si="4"/>
        <v>32</v>
      </c>
      <c r="Q37" s="3">
        <f t="shared" si="5"/>
        <v>41</v>
      </c>
    </row>
    <row r="38" spans="2:17" x14ac:dyDescent="0.25">
      <c r="C38" s="88"/>
      <c r="D38" s="88"/>
      <c r="E38" s="88"/>
      <c r="F38" s="88"/>
      <c r="G38" s="88"/>
      <c r="H38" s="88"/>
      <c r="I38" s="20" t="s">
        <v>34</v>
      </c>
      <c r="J38" s="16" t="str">
        <f>IFERROR(VLOOKUP(B29,TABLA1!$B$14:$BF$1596,36,FALSE),)</f>
        <v>-</v>
      </c>
      <c r="K38" s="16" t="str">
        <f>IFERROR(VLOOKUP(B29,TABLA1!$B$14:$BF$1596,48,FALSE),)</f>
        <v>-</v>
      </c>
      <c r="L38" s="13" t="str">
        <f>IFERROR(VLOOKUP(B30,TABLA1!$B$14:$BF$1596,36,FALSE),"-")</f>
        <v>-</v>
      </c>
      <c r="M38" s="13" t="str">
        <f>IFERROR(VLOOKUP(B30,TABLA1!$B$14:$BF$1596,48,FALSE),"-")</f>
        <v>-</v>
      </c>
      <c r="N38" s="3">
        <v>59</v>
      </c>
      <c r="O38" s="3">
        <v>68</v>
      </c>
      <c r="P38" s="3">
        <f t="shared" si="4"/>
        <v>34</v>
      </c>
      <c r="Q38" s="3">
        <f t="shared" si="5"/>
        <v>43</v>
      </c>
    </row>
    <row r="39" spans="2:17" x14ac:dyDescent="0.25">
      <c r="C39" s="88"/>
      <c r="D39" s="88"/>
      <c r="E39" s="88"/>
      <c r="F39" s="88"/>
      <c r="G39" s="88"/>
      <c r="H39" s="88"/>
      <c r="I39" s="20" t="s">
        <v>35</v>
      </c>
      <c r="J39" s="16"/>
      <c r="K39" s="16"/>
      <c r="L39" s="13"/>
      <c r="M39" s="13"/>
    </row>
    <row r="40" spans="2:17" x14ac:dyDescent="0.25">
      <c r="C40" s="88"/>
      <c r="D40" s="88"/>
      <c r="E40" s="88"/>
      <c r="F40" s="88"/>
      <c r="G40" s="88"/>
      <c r="H40" s="88"/>
      <c r="I40" s="20" t="s">
        <v>36</v>
      </c>
      <c r="J40" s="13"/>
      <c r="K40" s="13"/>
      <c r="L40" s="13"/>
      <c r="M40" s="13"/>
    </row>
    <row r="41" spans="2:17" x14ac:dyDescent="0.25">
      <c r="B41" s="3" t="str">
        <f>TABLA1!A17</f>
        <v>R2-2</v>
      </c>
      <c r="C41" s="88" t="str">
        <f>VLOOKUP(B41,TABLA1!$B$14:$BF$1596,2,FALSE)</f>
        <v>K2</v>
      </c>
      <c r="D41" s="88">
        <f>VLOOKUP(B41,TABLA1!$B$14:$BF$1596,3,FALSE)</f>
        <v>0</v>
      </c>
      <c r="E41" s="88" t="str">
        <f>VLOOKUP(B41,TABLA1!$B$14:$BF$1596,4,FALSE)&amp;"/"&amp;VLOOKUP(B41,TABLA1!$B$14:$BF$1596,5,FALSE)</f>
        <v>L2-2/</v>
      </c>
      <c r="F41" s="88">
        <f>VLOOKUP(B41,TABLA1!$B$14:$BF$1596,7,FALSE)</f>
        <v>5</v>
      </c>
      <c r="G41" s="88"/>
      <c r="H41" s="88"/>
      <c r="I41" s="20" t="s">
        <v>46</v>
      </c>
      <c r="J41" s="16">
        <f>IFERROR(VLOOKUP(B41,TABLA1!$B$14:$BF$1596,27,FALSE),"")</f>
        <v>1.1000000000000001</v>
      </c>
      <c r="K41" s="16">
        <f>IFERROR(VLOOKUP(B41,TABLA1!$B$14:$BF$1596,39,FALSE),)</f>
        <v>0.3</v>
      </c>
      <c r="L41" s="13" t="str">
        <f>IFERROR(VLOOKUP(B42,TABLA1!$B$14:$BF$1596,27,FALSE),"-")</f>
        <v>-</v>
      </c>
      <c r="M41" s="13" t="str">
        <f>IFERROR(VLOOKUP(B42,TABLA1!$B$14:$BF$1596,39,FALSE),"-")</f>
        <v>-</v>
      </c>
      <c r="N41" s="3">
        <v>51</v>
      </c>
      <c r="O41" s="3">
        <v>60</v>
      </c>
      <c r="P41" s="3">
        <f>N41-25</f>
        <v>26</v>
      </c>
      <c r="Q41" s="3">
        <f>O41-25</f>
        <v>35</v>
      </c>
    </row>
    <row r="42" spans="2:17" x14ac:dyDescent="0.25">
      <c r="C42" s="88"/>
      <c r="D42" s="88"/>
      <c r="E42" s="88"/>
      <c r="F42" s="88"/>
      <c r="G42" s="88"/>
      <c r="H42" s="88"/>
      <c r="I42" s="20" t="s">
        <v>47</v>
      </c>
      <c r="J42" s="13">
        <f>IFERROR(VLOOKUP(B41,TABLA1!$B$14:$BF$1596,26,FALSE),)</f>
        <v>0</v>
      </c>
      <c r="K42" s="13" t="str">
        <f>IFERROR(VLOOKUP(B41,TABLA1!$B$14:$BF$1596,38,FALSE),)</f>
        <v>-</v>
      </c>
      <c r="L42" s="13" t="str">
        <f>IFERROR(VLOOKUP(B42,TABLA1!$B$14:$BF$1596,26,FALSE),"-")</f>
        <v>-</v>
      </c>
      <c r="M42" s="13" t="str">
        <f>IFERROR(VLOOKUP(B42,TABLA1!$B$14:$BF$1596,38,FALSE),"-")</f>
        <v>-</v>
      </c>
    </row>
    <row r="43" spans="2:17" x14ac:dyDescent="0.25">
      <c r="C43" s="88"/>
      <c r="D43" s="88"/>
      <c r="E43" s="88"/>
      <c r="F43" s="88"/>
      <c r="G43" s="88"/>
      <c r="H43" s="88"/>
      <c r="I43" s="20" t="s">
        <v>10</v>
      </c>
      <c r="J43" s="16">
        <f>IFERROR(VLOOKUP(B41,TABLA1!$B$14:$BF$1596,28,FALSE),)</f>
        <v>440.00000000000006</v>
      </c>
      <c r="K43" s="16">
        <f>IFERROR(VLOOKUP(B41,TABLA1!$B$14:$BF$1596,40,FALSE),)</f>
        <v>120</v>
      </c>
      <c r="L43" s="13" t="str">
        <f>IFERROR(VLOOKUP(B42,TABLA1!$B$14:$BF$1596,28,FALSE),"-")</f>
        <v>-</v>
      </c>
      <c r="M43" s="13" t="str">
        <f>IFERROR(VLOOKUP(B42,TABLA1!$B$14:$BF$1596,40,FALSE),"-")</f>
        <v>-</v>
      </c>
    </row>
    <row r="44" spans="2:17" x14ac:dyDescent="0.25">
      <c r="C44" s="88"/>
      <c r="D44" s="88"/>
      <c r="E44" s="88"/>
      <c r="F44" s="88"/>
      <c r="G44" s="88"/>
      <c r="H44" s="88"/>
      <c r="I44" s="20" t="s">
        <v>11</v>
      </c>
      <c r="J44" s="13" t="str">
        <f>IFERROR(VLOOKUP(B41,TABLA1!$B$14:$BF$1596,29,FALSE),)</f>
        <v>IEC NI</v>
      </c>
      <c r="K44" s="13" t="str">
        <f>IFERROR(VLOOKUP(B41,TABLA1!$B$14:$BF$1596,41,FALSE),)</f>
        <v>IEC NI</v>
      </c>
      <c r="L44" s="13" t="str">
        <f>IFERROR(VLOOKUP(B42,TABLA1!$B$14:$BF$1596,29,FALSE),"-")</f>
        <v>-</v>
      </c>
      <c r="M44" s="13" t="str">
        <f>IFERROR(VLOOKUP(B42,TABLA1!$B$14:$BF$1596,41,FALSE),"-")</f>
        <v>-</v>
      </c>
    </row>
    <row r="45" spans="2:17" x14ac:dyDescent="0.25">
      <c r="C45" s="88"/>
      <c r="D45" s="88"/>
      <c r="E45" s="88"/>
      <c r="F45" s="88"/>
      <c r="G45" s="88"/>
      <c r="H45" s="88"/>
      <c r="I45" s="20" t="s">
        <v>48</v>
      </c>
      <c r="J45" s="16" t="str">
        <f>IFERROR(VLOOKUP(B41,TABLA1!$B$14:$BF$1596,31,FALSE),)</f>
        <v>-</v>
      </c>
      <c r="K45" s="16" t="str">
        <f>IFERROR(VLOOKUP(B41,TABLA1!$B$14:$BF$1596,43,FALSE),)</f>
        <v>-</v>
      </c>
      <c r="L45" s="13" t="str">
        <f>IFERROR(VLOOKUP(B42,TABLA1!$B$14:$BF$1596,31,FALSE),"-")</f>
        <v>-</v>
      </c>
      <c r="M45" s="13" t="str">
        <f>IFERROR(VLOOKUP(B42,TABLA1!$B$14:$BF$1596,43,FALSE),"-")</f>
        <v>-</v>
      </c>
      <c r="N45" s="3">
        <v>52</v>
      </c>
      <c r="O45" s="3">
        <v>61</v>
      </c>
      <c r="P45" s="3">
        <f t="shared" ref="P45:P50" si="6">N45-25</f>
        <v>27</v>
      </c>
      <c r="Q45" s="3">
        <f t="shared" ref="Q45:Q50" si="7">O45-25</f>
        <v>36</v>
      </c>
    </row>
    <row r="46" spans="2:17" x14ac:dyDescent="0.25">
      <c r="C46" s="88"/>
      <c r="D46" s="88"/>
      <c r="E46" s="88"/>
      <c r="F46" s="88"/>
      <c r="G46" s="88"/>
      <c r="H46" s="88"/>
      <c r="I46" s="20" t="s">
        <v>49</v>
      </c>
      <c r="J46" s="16">
        <f>IFERROR(VLOOKUP(B41,TABLA1!$B$14:$BF$1596,30,FALSE),)</f>
        <v>0.22</v>
      </c>
      <c r="K46" s="16">
        <f>IFERROR(VLOOKUP(B41,TABLA1!$B$14:$BF$1596,42,FALSE),)</f>
        <v>0.22</v>
      </c>
      <c r="L46" s="13" t="str">
        <f>IFERROR(VLOOKUP(B42,TABLA1!$B$14:$BF$1596,30,FALSE),"-")</f>
        <v>-</v>
      </c>
      <c r="M46" s="13" t="str">
        <f>IFERROR(VLOOKUP(B42,TABLA1!$B$14:$BF$1596,42,FALSE),"-")</f>
        <v>-</v>
      </c>
      <c r="N46" s="3">
        <v>53</v>
      </c>
      <c r="O46" s="3">
        <v>62</v>
      </c>
      <c r="P46" s="3">
        <f t="shared" si="6"/>
        <v>28</v>
      </c>
      <c r="Q46" s="3">
        <f t="shared" si="7"/>
        <v>37</v>
      </c>
    </row>
    <row r="47" spans="2:17" x14ac:dyDescent="0.25">
      <c r="C47" s="88"/>
      <c r="D47" s="88"/>
      <c r="E47" s="88"/>
      <c r="F47" s="88"/>
      <c r="G47" s="88"/>
      <c r="H47" s="88"/>
      <c r="I47" s="20" t="s">
        <v>33</v>
      </c>
      <c r="J47" s="16" t="str">
        <f>IFERROR(VLOOKUP(B41,TABLA1!$B$14:$BF$1596,32,FALSE),)</f>
        <v>-</v>
      </c>
      <c r="K47" s="16" t="str">
        <f>IFERROR(VLOOKUP(B41,TABLA1!$B$14:$BF$1596,44,FALSE),)</f>
        <v>-</v>
      </c>
      <c r="L47" s="13" t="str">
        <f>IFERROR(VLOOKUP(B42,TABLA1!$B$14:$BF$1596,32,FALSE),"-")</f>
        <v>-</v>
      </c>
      <c r="M47" s="13" t="str">
        <f>IFERROR(VLOOKUP(B42,TABLA1!$B$14:$BF$1596,44,FALSE),"-")</f>
        <v>-</v>
      </c>
      <c r="N47" s="3">
        <v>54</v>
      </c>
      <c r="O47" s="3">
        <v>63</v>
      </c>
      <c r="P47" s="3">
        <f t="shared" si="6"/>
        <v>29</v>
      </c>
      <c r="Q47" s="3">
        <f t="shared" si="7"/>
        <v>38</v>
      </c>
    </row>
    <row r="48" spans="2:17" x14ac:dyDescent="0.25">
      <c r="C48" s="88"/>
      <c r="D48" s="88"/>
      <c r="E48" s="88"/>
      <c r="F48" s="88"/>
      <c r="G48" s="88"/>
      <c r="H48" s="88"/>
      <c r="I48" s="20" t="s">
        <v>50</v>
      </c>
      <c r="J48" s="16" t="str">
        <f>IFERROR(VLOOKUP(B41,TABLA1!$B$14:$BF$1596,35,FALSE),)</f>
        <v>-</v>
      </c>
      <c r="K48" s="16" t="str">
        <f>IFERROR(VLOOKUP(B41,TABLA1!$B$14:$BF$1596,47,FALSE),)</f>
        <v>-</v>
      </c>
      <c r="L48" s="13" t="str">
        <f>IFERROR(VLOOKUP(B42,TABLA1!$B$14:$BF$1596,35,FALSE),"-")</f>
        <v>-</v>
      </c>
      <c r="M48" s="13" t="str">
        <f>IFERROR(VLOOKUP(B42,TABLA1!$B$14:$BF$1596,47,FALSE),"-")</f>
        <v>-</v>
      </c>
      <c r="N48" s="3">
        <v>56</v>
      </c>
      <c r="O48" s="3">
        <v>65</v>
      </c>
      <c r="P48" s="3">
        <f t="shared" si="6"/>
        <v>31</v>
      </c>
      <c r="Q48" s="3">
        <f t="shared" si="7"/>
        <v>40</v>
      </c>
    </row>
    <row r="49" spans="2:17" x14ac:dyDescent="0.25">
      <c r="C49" s="88"/>
      <c r="D49" s="88"/>
      <c r="E49" s="88"/>
      <c r="F49" s="88"/>
      <c r="G49" s="88"/>
      <c r="H49" s="88"/>
      <c r="I49" s="20" t="s">
        <v>51</v>
      </c>
      <c r="J49" s="16" t="str">
        <f>IFERROR(VLOOKUP(B41,TABLA1!$B$14:$BF$1596,34,FALSE),)</f>
        <v>-</v>
      </c>
      <c r="K49" s="16" t="str">
        <f>IFERROR(VLOOKUP(B41,TABLA1!$B$14:$BF$1596,46,FALSE),)</f>
        <v>-</v>
      </c>
      <c r="L49" s="13" t="str">
        <f>IFERROR(VLOOKUP(B42,TABLA1!$B$14:$BF$1596,34,FALSE),"-")</f>
        <v>-</v>
      </c>
      <c r="M49" s="13" t="str">
        <f>IFERROR(VLOOKUP(B42,TABLA1!$B$14:$BF$1596,46,FALSE),"-")</f>
        <v>-</v>
      </c>
      <c r="N49" s="3">
        <v>57</v>
      </c>
      <c r="O49" s="3">
        <v>66</v>
      </c>
      <c r="P49" s="3">
        <f t="shared" si="6"/>
        <v>32</v>
      </c>
      <c r="Q49" s="3">
        <f t="shared" si="7"/>
        <v>41</v>
      </c>
    </row>
    <row r="50" spans="2:17" x14ac:dyDescent="0.25">
      <c r="C50" s="88"/>
      <c r="D50" s="88"/>
      <c r="E50" s="88"/>
      <c r="F50" s="88"/>
      <c r="G50" s="88"/>
      <c r="H50" s="88"/>
      <c r="I50" s="20" t="s">
        <v>34</v>
      </c>
      <c r="J50" s="16" t="str">
        <f>IFERROR(VLOOKUP(B41,TABLA1!$B$14:$BF$1596,36,FALSE),)</f>
        <v>-</v>
      </c>
      <c r="K50" s="16" t="str">
        <f>IFERROR(VLOOKUP(B41,TABLA1!$B$14:$BF$1596,48,FALSE),)</f>
        <v>-</v>
      </c>
      <c r="L50" s="13" t="str">
        <f>IFERROR(VLOOKUP(B42,TABLA1!$B$14:$BF$1596,36,FALSE),"-")</f>
        <v>-</v>
      </c>
      <c r="M50" s="13" t="str">
        <f>IFERROR(VLOOKUP(B42,TABLA1!$B$14:$BF$1596,48,FALSE),"-")</f>
        <v>-</v>
      </c>
      <c r="N50" s="3">
        <v>59</v>
      </c>
      <c r="O50" s="3">
        <v>68</v>
      </c>
      <c r="P50" s="3">
        <f t="shared" si="6"/>
        <v>34</v>
      </c>
      <c r="Q50" s="3">
        <f t="shared" si="7"/>
        <v>43</v>
      </c>
    </row>
    <row r="51" spans="2:17" x14ac:dyDescent="0.25">
      <c r="C51" s="88"/>
      <c r="D51" s="88"/>
      <c r="E51" s="88"/>
      <c r="F51" s="88"/>
      <c r="G51" s="88"/>
      <c r="H51" s="88"/>
      <c r="I51" s="20" t="s">
        <v>35</v>
      </c>
      <c r="J51" s="16"/>
      <c r="K51" s="16"/>
      <c r="L51" s="13"/>
      <c r="M51" s="13"/>
    </row>
    <row r="52" spans="2:17" x14ac:dyDescent="0.25">
      <c r="C52" s="88"/>
      <c r="D52" s="88"/>
      <c r="E52" s="88"/>
      <c r="F52" s="88"/>
      <c r="G52" s="88"/>
      <c r="H52" s="88"/>
      <c r="I52" s="20" t="s">
        <v>36</v>
      </c>
      <c r="J52" s="13"/>
      <c r="K52" s="13"/>
      <c r="L52" s="13"/>
      <c r="M52" s="13"/>
    </row>
    <row r="53" spans="2:17" x14ac:dyDescent="0.25">
      <c r="B53" s="3" t="str">
        <f>TABLA1!B18</f>
        <v>R3-2</v>
      </c>
      <c r="C53" s="88" t="str">
        <f>VLOOKUP(B53,TABLA1!$B$14:$BF$1596,2,FALSE)</f>
        <v>K3-2</v>
      </c>
      <c r="D53" s="88">
        <f>VLOOKUP(B53,TABLA1!$B$14:$BF$1596,3,FALSE)</f>
        <v>0</v>
      </c>
      <c r="E53" s="88" t="str">
        <f>VLOOKUP(B53,TABLA1!$B$14:$BF$1596,4,FALSE)&amp;"/"&amp;VLOOKUP(B53,TABLA1!$B$14:$BF$1596,5,FALSE)</f>
        <v>L3-2/</v>
      </c>
      <c r="F53" s="88">
        <f>VLOOKUP(B53,TABLA1!$B$14:$BF$1596,7,FALSE)</f>
        <v>5</v>
      </c>
      <c r="G53" s="88"/>
      <c r="H53" s="88"/>
      <c r="I53" s="20" t="s">
        <v>46</v>
      </c>
      <c r="J53" s="16">
        <f>IFERROR(VLOOKUP(B53,TABLA1!$B$14:$BF$1596,27,FALSE),"")</f>
        <v>1.1000000000000001</v>
      </c>
      <c r="K53" s="16">
        <f>IFERROR(VLOOKUP(B53,TABLA1!$B$14:$BF$1596,39,FALSE),)</f>
        <v>0.3</v>
      </c>
      <c r="L53" s="13" t="str">
        <f>IFERROR(VLOOKUP(B54,TABLA1!$B$14:$BF$1596,27,FALSE),"-")</f>
        <v>-</v>
      </c>
      <c r="M53" s="13" t="str">
        <f>IFERROR(VLOOKUP(B54,TABLA1!$B$14:$BF$1596,39,FALSE),"-")</f>
        <v>-</v>
      </c>
      <c r="N53" s="3">
        <v>51</v>
      </c>
      <c r="O53" s="3">
        <v>60</v>
      </c>
      <c r="P53" s="3">
        <f>N53-25</f>
        <v>26</v>
      </c>
      <c r="Q53" s="3">
        <f>O53-25</f>
        <v>35</v>
      </c>
    </row>
    <row r="54" spans="2:17" x14ac:dyDescent="0.25">
      <c r="C54" s="88"/>
      <c r="D54" s="88"/>
      <c r="E54" s="88"/>
      <c r="F54" s="88"/>
      <c r="G54" s="88"/>
      <c r="H54" s="88"/>
      <c r="I54" s="20" t="s">
        <v>47</v>
      </c>
      <c r="J54" s="13">
        <f>IFERROR(VLOOKUP(B53,TABLA1!$B$14:$BF$1596,26,FALSE),)</f>
        <v>0</v>
      </c>
      <c r="K54" s="13" t="str">
        <f>IFERROR(VLOOKUP(B53,TABLA1!$B$14:$BF$1596,38,FALSE),)</f>
        <v>-</v>
      </c>
      <c r="L54" s="13" t="str">
        <f>IFERROR(VLOOKUP(B54,TABLA1!$B$14:$BF$1596,26,FALSE),"-")</f>
        <v>-</v>
      </c>
      <c r="M54" s="13" t="str">
        <f>IFERROR(VLOOKUP(B54,TABLA1!$B$14:$BF$1596,38,FALSE),"-")</f>
        <v>-</v>
      </c>
    </row>
    <row r="55" spans="2:17" x14ac:dyDescent="0.25">
      <c r="C55" s="88"/>
      <c r="D55" s="88"/>
      <c r="E55" s="88"/>
      <c r="F55" s="88"/>
      <c r="G55" s="88"/>
      <c r="H55" s="88"/>
      <c r="I55" s="20" t="s">
        <v>10</v>
      </c>
      <c r="J55" s="16">
        <f>IFERROR(VLOOKUP(B53,TABLA1!$B$14:$BF$1596,28,FALSE),)</f>
        <v>440.00000000000006</v>
      </c>
      <c r="K55" s="16">
        <f>IFERROR(VLOOKUP(B53,TABLA1!$B$14:$BF$1596,40,FALSE),)</f>
        <v>120</v>
      </c>
      <c r="L55" s="13" t="str">
        <f>IFERROR(VLOOKUP(B54,TABLA1!$B$14:$BF$1596,28,FALSE),"-")</f>
        <v>-</v>
      </c>
      <c r="M55" s="13" t="str">
        <f>IFERROR(VLOOKUP(B54,TABLA1!$B$14:$BF$1596,40,FALSE),"-")</f>
        <v>-</v>
      </c>
    </row>
    <row r="56" spans="2:17" x14ac:dyDescent="0.25">
      <c r="C56" s="88"/>
      <c r="D56" s="88"/>
      <c r="E56" s="88"/>
      <c r="F56" s="88"/>
      <c r="G56" s="88"/>
      <c r="H56" s="88"/>
      <c r="I56" s="20" t="s">
        <v>11</v>
      </c>
      <c r="J56" s="13" t="str">
        <f>IFERROR(VLOOKUP(B53,TABLA1!$B$14:$BF$1596,29,FALSE),)</f>
        <v>IEC NI</v>
      </c>
      <c r="K56" s="13" t="str">
        <f>IFERROR(VLOOKUP(B53,TABLA1!$B$14:$BF$1596,41,FALSE),)</f>
        <v>IEC NI</v>
      </c>
      <c r="L56" s="13" t="str">
        <f>IFERROR(VLOOKUP(B54,TABLA1!$B$14:$BF$1596,29,FALSE),"-")</f>
        <v>-</v>
      </c>
      <c r="M56" s="13" t="str">
        <f>IFERROR(VLOOKUP(B54,TABLA1!$B$14:$BF$1596,41,FALSE),"-")</f>
        <v>-</v>
      </c>
    </row>
    <row r="57" spans="2:17" x14ac:dyDescent="0.25">
      <c r="C57" s="88"/>
      <c r="D57" s="88"/>
      <c r="E57" s="88"/>
      <c r="F57" s="88"/>
      <c r="G57" s="88"/>
      <c r="H57" s="88"/>
      <c r="I57" s="20" t="s">
        <v>48</v>
      </c>
      <c r="J57" s="16">
        <f>IFERROR(VLOOKUP(B53,TABLA1!$B$14:$BF$1596,31,FALSE),)</f>
        <v>3</v>
      </c>
      <c r="K57" s="16">
        <f>IFERROR(VLOOKUP(B53,TABLA1!$B$14:$BF$1596,43,FALSE),)</f>
        <v>0.8</v>
      </c>
      <c r="L57" s="13" t="str">
        <f>IFERROR(VLOOKUP(B54,TABLA1!$B$14:$BF$1596,31,FALSE),"-")</f>
        <v>-</v>
      </c>
      <c r="M57" s="13" t="str">
        <f>IFERROR(VLOOKUP(B54,TABLA1!$B$14:$BF$1596,43,FALSE),"-")</f>
        <v>-</v>
      </c>
      <c r="N57" s="3">
        <v>52</v>
      </c>
      <c r="O57" s="3">
        <v>61</v>
      </c>
      <c r="P57" s="3">
        <f t="shared" ref="P57:P62" si="8">N57-25</f>
        <v>27</v>
      </c>
      <c r="Q57" s="3">
        <f t="shared" ref="Q57:Q62" si="9">O57-25</f>
        <v>36</v>
      </c>
    </row>
    <row r="58" spans="2:17" x14ac:dyDescent="0.25">
      <c r="C58" s="88"/>
      <c r="D58" s="88"/>
      <c r="E58" s="88"/>
      <c r="F58" s="88"/>
      <c r="G58" s="88"/>
      <c r="H58" s="88"/>
      <c r="I58" s="20" t="s">
        <v>49</v>
      </c>
      <c r="J58" s="16">
        <f>IFERROR(VLOOKUP(B53,TABLA1!$B$14:$BF$1596,30,FALSE),)</f>
        <v>0.18</v>
      </c>
      <c r="K58" s="16">
        <f>IFERROR(VLOOKUP(B53,TABLA1!$B$14:$BF$1596,42,FALSE),)</f>
        <v>0.18</v>
      </c>
      <c r="L58" s="13" t="str">
        <f>IFERROR(VLOOKUP(B54,TABLA1!$B$14:$BF$1596,30,FALSE),"-")</f>
        <v>-</v>
      </c>
      <c r="M58" s="13" t="str">
        <f>IFERROR(VLOOKUP(B54,TABLA1!$B$14:$BF$1596,42,FALSE),"-")</f>
        <v>-</v>
      </c>
      <c r="N58" s="3">
        <v>53</v>
      </c>
      <c r="O58" s="3">
        <v>62</v>
      </c>
      <c r="P58" s="3">
        <f t="shared" si="8"/>
        <v>28</v>
      </c>
      <c r="Q58" s="3">
        <f t="shared" si="9"/>
        <v>37</v>
      </c>
    </row>
    <row r="59" spans="2:17" x14ac:dyDescent="0.25">
      <c r="C59" s="88"/>
      <c r="D59" s="88"/>
      <c r="E59" s="88"/>
      <c r="F59" s="88"/>
      <c r="G59" s="88"/>
      <c r="H59" s="88"/>
      <c r="I59" s="20" t="s">
        <v>33</v>
      </c>
      <c r="J59" s="16">
        <f>IFERROR(VLOOKUP(B53,TABLA1!$B$14:$BF$1596,32,FALSE),)</f>
        <v>1200</v>
      </c>
      <c r="K59" s="16">
        <f>IFERROR(VLOOKUP(B53,TABLA1!$B$14:$BF$1596,44,FALSE),)</f>
        <v>320</v>
      </c>
      <c r="L59" s="13" t="str">
        <f>IFERROR(VLOOKUP(B54,TABLA1!$B$14:$BF$1596,32,FALSE),"-")</f>
        <v>-</v>
      </c>
      <c r="M59" s="13" t="str">
        <f>IFERROR(VLOOKUP(B54,TABLA1!$B$14:$BF$1596,44,FALSE),"-")</f>
        <v>-</v>
      </c>
      <c r="N59" s="3">
        <v>54</v>
      </c>
      <c r="O59" s="3">
        <v>63</v>
      </c>
      <c r="P59" s="3">
        <f t="shared" si="8"/>
        <v>29</v>
      </c>
      <c r="Q59" s="3">
        <f t="shared" si="9"/>
        <v>38</v>
      </c>
    </row>
    <row r="60" spans="2:17" x14ac:dyDescent="0.25">
      <c r="C60" s="88"/>
      <c r="D60" s="88"/>
      <c r="E60" s="88"/>
      <c r="F60" s="88"/>
      <c r="G60" s="88"/>
      <c r="H60" s="88"/>
      <c r="I60" s="20" t="s">
        <v>50</v>
      </c>
      <c r="J60" s="16" t="str">
        <f>IFERROR(VLOOKUP(B53,TABLA1!$B$14:$BF$1596,35,FALSE),)</f>
        <v>-</v>
      </c>
      <c r="K60" s="16" t="str">
        <f>IFERROR(VLOOKUP(B53,TABLA1!$B$14:$BF$1596,47,FALSE),)</f>
        <v>-</v>
      </c>
      <c r="L60" s="13" t="str">
        <f>IFERROR(VLOOKUP(B54,TABLA1!$B$14:$BF$1596,35,FALSE),"-")</f>
        <v>-</v>
      </c>
      <c r="M60" s="13" t="str">
        <f>IFERROR(VLOOKUP(B54,TABLA1!$B$14:$BF$1596,47,FALSE),"-")</f>
        <v>-</v>
      </c>
      <c r="N60" s="3">
        <v>56</v>
      </c>
      <c r="O60" s="3">
        <v>65</v>
      </c>
      <c r="P60" s="3">
        <f t="shared" si="8"/>
        <v>31</v>
      </c>
      <c r="Q60" s="3">
        <f t="shared" si="9"/>
        <v>40</v>
      </c>
    </row>
    <row r="61" spans="2:17" x14ac:dyDescent="0.25">
      <c r="C61" s="88"/>
      <c r="D61" s="88"/>
      <c r="E61" s="88"/>
      <c r="F61" s="88"/>
      <c r="G61" s="88"/>
      <c r="H61" s="88"/>
      <c r="I61" s="20" t="s">
        <v>51</v>
      </c>
      <c r="J61" s="16">
        <f>IFERROR(VLOOKUP(B53,TABLA1!$B$14:$BF$1596,34,FALSE),)</f>
        <v>0.09</v>
      </c>
      <c r="K61" s="16">
        <f>IFERROR(VLOOKUP(B53,TABLA1!$B$14:$BF$1596,46,FALSE),)</f>
        <v>0.09</v>
      </c>
      <c r="L61" s="13" t="str">
        <f>IFERROR(VLOOKUP(B54,TABLA1!$B$14:$BF$1596,34,FALSE),"-")</f>
        <v>-</v>
      </c>
      <c r="M61" s="13" t="str">
        <f>IFERROR(VLOOKUP(B54,TABLA1!$B$14:$BF$1596,46,FALSE),"-")</f>
        <v>-</v>
      </c>
      <c r="N61" s="3">
        <v>57</v>
      </c>
      <c r="O61" s="3">
        <v>66</v>
      </c>
      <c r="P61" s="3">
        <f t="shared" si="8"/>
        <v>32</v>
      </c>
      <c r="Q61" s="3">
        <f t="shared" si="9"/>
        <v>41</v>
      </c>
    </row>
    <row r="62" spans="2:17" x14ac:dyDescent="0.25">
      <c r="C62" s="88"/>
      <c r="D62" s="88"/>
      <c r="E62" s="88"/>
      <c r="F62" s="88"/>
      <c r="G62" s="88"/>
      <c r="H62" s="88"/>
      <c r="I62" s="20" t="s">
        <v>34</v>
      </c>
      <c r="J62" s="16" t="str">
        <f>IFERROR(VLOOKUP(B53,TABLA1!$B$14:$BF$1596,36,FALSE),)</f>
        <v>-</v>
      </c>
      <c r="K62" s="16" t="str">
        <f>IFERROR(VLOOKUP(B53,TABLA1!$B$14:$BF$1596,48,FALSE),)</f>
        <v>-</v>
      </c>
      <c r="L62" s="13" t="str">
        <f>IFERROR(VLOOKUP(B54,TABLA1!$B$14:$BF$1596,36,FALSE),"-")</f>
        <v>-</v>
      </c>
      <c r="M62" s="13" t="str">
        <f>IFERROR(VLOOKUP(B54,TABLA1!$B$14:$BF$1596,48,FALSE),"-")</f>
        <v>-</v>
      </c>
      <c r="N62" s="3">
        <v>59</v>
      </c>
      <c r="O62" s="3">
        <v>68</v>
      </c>
      <c r="P62" s="3">
        <f t="shared" si="8"/>
        <v>34</v>
      </c>
      <c r="Q62" s="3">
        <f t="shared" si="9"/>
        <v>43</v>
      </c>
    </row>
    <row r="63" spans="2:17" x14ac:dyDescent="0.25">
      <c r="C63" s="88"/>
      <c r="D63" s="88"/>
      <c r="E63" s="88"/>
      <c r="F63" s="88"/>
      <c r="G63" s="88"/>
      <c r="H63" s="88"/>
      <c r="I63" s="20" t="s">
        <v>35</v>
      </c>
      <c r="J63" s="16"/>
      <c r="K63" s="16"/>
      <c r="L63" s="13"/>
      <c r="M63" s="13"/>
    </row>
    <row r="64" spans="2:17" x14ac:dyDescent="0.25">
      <c r="C64" s="88"/>
      <c r="D64" s="88"/>
      <c r="E64" s="88"/>
      <c r="F64" s="88"/>
      <c r="G64" s="88"/>
      <c r="H64" s="88"/>
      <c r="I64" s="20" t="s">
        <v>36</v>
      </c>
      <c r="J64" s="13"/>
      <c r="K64" s="13"/>
      <c r="L64" s="13"/>
      <c r="M64" s="13"/>
    </row>
    <row r="65" spans="2:17" x14ac:dyDescent="0.25">
      <c r="B65" s="3">
        <f>TABLA1!B20</f>
        <v>0</v>
      </c>
      <c r="C65" s="88" t="e">
        <f>VLOOKUP(B65,TABLA1!$B$14:$BF$1596,2,FALSE)</f>
        <v>#N/A</v>
      </c>
      <c r="D65" s="88" t="e">
        <f>VLOOKUP(B65,TABLA1!$B$14:$BF$1596,3,FALSE)</f>
        <v>#N/A</v>
      </c>
      <c r="E65" s="88" t="e">
        <f>VLOOKUP(B65,TABLA1!$B$14:$BF$1596,4,FALSE)&amp;"/"&amp;VLOOKUP(B65,TABLA1!$B$14:$BF$1596,5,FALSE)</f>
        <v>#N/A</v>
      </c>
      <c r="F65" s="88" t="e">
        <f>VLOOKUP(B65,TABLA1!$B$14:$BF$1596,7,FALSE)</f>
        <v>#N/A</v>
      </c>
      <c r="G65" s="88"/>
      <c r="H65" s="88"/>
      <c r="I65" s="20" t="s">
        <v>46</v>
      </c>
      <c r="J65" s="16" t="str">
        <f>IFERROR(VLOOKUP(B65,TABLA1!$B$14:$BF$1596,27,FALSE),"")</f>
        <v/>
      </c>
      <c r="K65" s="16">
        <f>IFERROR(VLOOKUP(B65,TABLA1!$B$14:$BF$1596,39,FALSE),)</f>
        <v>0</v>
      </c>
      <c r="L65" s="13" t="str">
        <f>IFERROR(VLOOKUP(B66,TABLA1!$B$14:$BF$1596,27,FALSE),"-")</f>
        <v>-</v>
      </c>
      <c r="M65" s="13" t="str">
        <f>IFERROR(VLOOKUP(B66,TABLA1!$B$14:$BF$1596,39,FALSE),"-")</f>
        <v>-</v>
      </c>
      <c r="N65" s="3">
        <v>51</v>
      </c>
      <c r="O65" s="3">
        <v>60</v>
      </c>
      <c r="P65" s="3">
        <f>N65-25</f>
        <v>26</v>
      </c>
      <c r="Q65" s="3">
        <f>O65-25</f>
        <v>35</v>
      </c>
    </row>
    <row r="66" spans="2:17" x14ac:dyDescent="0.25">
      <c r="C66" s="88"/>
      <c r="D66" s="88"/>
      <c r="E66" s="88"/>
      <c r="F66" s="88"/>
      <c r="G66" s="88"/>
      <c r="H66" s="88"/>
      <c r="I66" s="20" t="s">
        <v>47</v>
      </c>
      <c r="J66" s="13">
        <f>IFERROR(VLOOKUP(B65,TABLA1!$B$14:$BF$1596,26,FALSE),)</f>
        <v>0</v>
      </c>
      <c r="K66" s="13">
        <f>IFERROR(VLOOKUP(B65,TABLA1!$B$14:$BF$1596,38,FALSE),)</f>
        <v>0</v>
      </c>
      <c r="L66" s="13" t="str">
        <f>IFERROR(VLOOKUP(B66,TABLA1!$B$14:$BF$1596,26,FALSE),"-")</f>
        <v>-</v>
      </c>
      <c r="M66" s="13" t="str">
        <f>IFERROR(VLOOKUP(B66,TABLA1!$B$14:$BF$1596,38,FALSE),"-")</f>
        <v>-</v>
      </c>
    </row>
    <row r="67" spans="2:17" x14ac:dyDescent="0.25">
      <c r="C67" s="88"/>
      <c r="D67" s="88"/>
      <c r="E67" s="88"/>
      <c r="F67" s="88"/>
      <c r="G67" s="88"/>
      <c r="H67" s="88"/>
      <c r="I67" s="20" t="s">
        <v>10</v>
      </c>
      <c r="J67" s="16">
        <f>IFERROR(VLOOKUP(B65,TABLA1!$B$14:$BF$1596,28,FALSE),)</f>
        <v>0</v>
      </c>
      <c r="K67" s="16">
        <f>IFERROR(VLOOKUP(B65,TABLA1!$B$14:$BF$1596,40,FALSE),)</f>
        <v>0</v>
      </c>
      <c r="L67" s="13" t="str">
        <f>IFERROR(VLOOKUP(B66,TABLA1!$B$14:$BF$1596,28,FALSE),"-")</f>
        <v>-</v>
      </c>
      <c r="M67" s="13" t="str">
        <f>IFERROR(VLOOKUP(B66,TABLA1!$B$14:$BF$1596,40,FALSE),"-")</f>
        <v>-</v>
      </c>
    </row>
    <row r="68" spans="2:17" x14ac:dyDescent="0.25">
      <c r="C68" s="88"/>
      <c r="D68" s="88"/>
      <c r="E68" s="88"/>
      <c r="F68" s="88"/>
      <c r="G68" s="88"/>
      <c r="H68" s="88"/>
      <c r="I68" s="20" t="s">
        <v>11</v>
      </c>
      <c r="J68" s="13">
        <f>IFERROR(VLOOKUP(B65,TABLA1!$B$14:$BF$1596,29,FALSE),)</f>
        <v>0</v>
      </c>
      <c r="K68" s="13">
        <f>IFERROR(VLOOKUP(B65,TABLA1!$B$14:$BF$1596,41,FALSE),)</f>
        <v>0</v>
      </c>
      <c r="L68" s="13" t="str">
        <f>IFERROR(VLOOKUP(B66,TABLA1!$B$14:$BF$1596,29,FALSE),"-")</f>
        <v>-</v>
      </c>
      <c r="M68" s="13" t="str">
        <f>IFERROR(VLOOKUP(B66,TABLA1!$B$14:$BF$1596,41,FALSE),"-")</f>
        <v>-</v>
      </c>
    </row>
    <row r="69" spans="2:17" x14ac:dyDescent="0.25">
      <c r="C69" s="88"/>
      <c r="D69" s="88"/>
      <c r="E69" s="88"/>
      <c r="F69" s="88"/>
      <c r="G69" s="88"/>
      <c r="H69" s="88"/>
      <c r="I69" s="20" t="s">
        <v>48</v>
      </c>
      <c r="J69" s="16">
        <f>IFERROR(VLOOKUP(B65,TABLA1!$B$14:$BF$1596,31,FALSE),)</f>
        <v>0</v>
      </c>
      <c r="K69" s="16">
        <f>IFERROR(VLOOKUP(B65,TABLA1!$B$14:$BF$1596,43,FALSE),)</f>
        <v>0</v>
      </c>
      <c r="L69" s="13" t="str">
        <f>IFERROR(VLOOKUP(B66,TABLA1!$B$14:$BF$1596,31,FALSE),"-")</f>
        <v>-</v>
      </c>
      <c r="M69" s="13" t="str">
        <f>IFERROR(VLOOKUP(B66,TABLA1!$B$14:$BF$1596,43,FALSE),"-")</f>
        <v>-</v>
      </c>
      <c r="N69" s="3">
        <v>52</v>
      </c>
      <c r="O69" s="3">
        <v>61</v>
      </c>
      <c r="P69" s="3">
        <f t="shared" ref="P69:P74" si="10">N69-25</f>
        <v>27</v>
      </c>
      <c r="Q69" s="3">
        <f t="shared" ref="Q69:Q74" si="11">O69-25</f>
        <v>36</v>
      </c>
    </row>
    <row r="70" spans="2:17" x14ac:dyDescent="0.25">
      <c r="C70" s="88"/>
      <c r="D70" s="88"/>
      <c r="E70" s="88"/>
      <c r="F70" s="88"/>
      <c r="G70" s="88"/>
      <c r="H70" s="88"/>
      <c r="I70" s="20" t="s">
        <v>49</v>
      </c>
      <c r="J70" s="16">
        <f>IFERROR(VLOOKUP(B65,TABLA1!$B$14:$BF$1596,30,FALSE),)</f>
        <v>0</v>
      </c>
      <c r="K70" s="16">
        <f>IFERROR(VLOOKUP(B65,TABLA1!$B$14:$BF$1596,42,FALSE),)</f>
        <v>0</v>
      </c>
      <c r="L70" s="13" t="str">
        <f>IFERROR(VLOOKUP(B66,TABLA1!$B$14:$BF$1596,30,FALSE),"-")</f>
        <v>-</v>
      </c>
      <c r="M70" s="13" t="str">
        <f>IFERROR(VLOOKUP(B66,TABLA1!$B$14:$BF$1596,42,FALSE),"-")</f>
        <v>-</v>
      </c>
      <c r="N70" s="3">
        <v>53</v>
      </c>
      <c r="O70" s="3">
        <v>62</v>
      </c>
      <c r="P70" s="3">
        <f t="shared" si="10"/>
        <v>28</v>
      </c>
      <c r="Q70" s="3">
        <f t="shared" si="11"/>
        <v>37</v>
      </c>
    </row>
    <row r="71" spans="2:17" x14ac:dyDescent="0.25">
      <c r="C71" s="88"/>
      <c r="D71" s="88"/>
      <c r="E71" s="88"/>
      <c r="F71" s="88"/>
      <c r="G71" s="88"/>
      <c r="H71" s="88"/>
      <c r="I71" s="20" t="s">
        <v>33</v>
      </c>
      <c r="J71" s="16">
        <f>IFERROR(VLOOKUP(B65,TABLA1!$B$14:$BF$1596,32,FALSE),)</f>
        <v>0</v>
      </c>
      <c r="K71" s="16">
        <f>IFERROR(VLOOKUP(B65,TABLA1!$B$14:$BF$1596,44,FALSE),)</f>
        <v>0</v>
      </c>
      <c r="L71" s="13" t="str">
        <f>IFERROR(VLOOKUP(B66,TABLA1!$B$14:$BF$1596,32,FALSE),"-")</f>
        <v>-</v>
      </c>
      <c r="M71" s="13" t="str">
        <f>IFERROR(VLOOKUP(B66,TABLA1!$B$14:$BF$1596,44,FALSE),"-")</f>
        <v>-</v>
      </c>
      <c r="N71" s="3">
        <v>54</v>
      </c>
      <c r="O71" s="3">
        <v>63</v>
      </c>
      <c r="P71" s="3">
        <f t="shared" si="10"/>
        <v>29</v>
      </c>
      <c r="Q71" s="3">
        <f t="shared" si="11"/>
        <v>38</v>
      </c>
    </row>
    <row r="72" spans="2:17" x14ac:dyDescent="0.25">
      <c r="C72" s="88"/>
      <c r="D72" s="88"/>
      <c r="E72" s="88"/>
      <c r="F72" s="88"/>
      <c r="G72" s="88"/>
      <c r="H72" s="88"/>
      <c r="I72" s="20" t="s">
        <v>50</v>
      </c>
      <c r="J72" s="16">
        <f>IFERROR(VLOOKUP(B65,TABLA1!$B$14:$BF$1596,35,FALSE),)</f>
        <v>0</v>
      </c>
      <c r="K72" s="16">
        <f>IFERROR(VLOOKUP(B65,TABLA1!$B$14:$BF$1596,47,FALSE),)</f>
        <v>0</v>
      </c>
      <c r="L72" s="13" t="str">
        <f>IFERROR(VLOOKUP(B66,TABLA1!$B$14:$BF$1596,35,FALSE),"-")</f>
        <v>-</v>
      </c>
      <c r="M72" s="13" t="str">
        <f>IFERROR(VLOOKUP(B66,TABLA1!$B$14:$BF$1596,47,FALSE),"-")</f>
        <v>-</v>
      </c>
      <c r="N72" s="3">
        <v>56</v>
      </c>
      <c r="O72" s="3">
        <v>65</v>
      </c>
      <c r="P72" s="3">
        <f t="shared" si="10"/>
        <v>31</v>
      </c>
      <c r="Q72" s="3">
        <f t="shared" si="11"/>
        <v>40</v>
      </c>
    </row>
    <row r="73" spans="2:17" x14ac:dyDescent="0.25">
      <c r="C73" s="88"/>
      <c r="D73" s="88"/>
      <c r="E73" s="88"/>
      <c r="F73" s="88"/>
      <c r="G73" s="88"/>
      <c r="H73" s="88"/>
      <c r="I73" s="20" t="s">
        <v>51</v>
      </c>
      <c r="J73" s="16">
        <f>IFERROR(VLOOKUP(B65,TABLA1!$B$14:$BF$1596,34,FALSE),)</f>
        <v>0</v>
      </c>
      <c r="K73" s="16">
        <f>IFERROR(VLOOKUP(B65,TABLA1!$B$14:$BF$1596,46,FALSE),)</f>
        <v>0</v>
      </c>
      <c r="L73" s="13" t="str">
        <f>IFERROR(VLOOKUP(B66,TABLA1!$B$14:$BF$1596,34,FALSE),"-")</f>
        <v>-</v>
      </c>
      <c r="M73" s="13" t="str">
        <f>IFERROR(VLOOKUP(B66,TABLA1!$B$14:$BF$1596,46,FALSE),"-")</f>
        <v>-</v>
      </c>
      <c r="N73" s="3">
        <v>57</v>
      </c>
      <c r="O73" s="3">
        <v>66</v>
      </c>
      <c r="P73" s="3">
        <f t="shared" si="10"/>
        <v>32</v>
      </c>
      <c r="Q73" s="3">
        <f t="shared" si="11"/>
        <v>41</v>
      </c>
    </row>
    <row r="74" spans="2:17" x14ac:dyDescent="0.25">
      <c r="C74" s="88"/>
      <c r="D74" s="88"/>
      <c r="E74" s="88"/>
      <c r="F74" s="88"/>
      <c r="G74" s="88"/>
      <c r="H74" s="88"/>
      <c r="I74" s="20" t="s">
        <v>34</v>
      </c>
      <c r="J74" s="16">
        <f>IFERROR(VLOOKUP(B65,TABLA1!$B$14:$BF$1596,36,FALSE),)</f>
        <v>0</v>
      </c>
      <c r="K74" s="16">
        <f>IFERROR(VLOOKUP(B65,TABLA1!$B$14:$BF$1596,48,FALSE),)</f>
        <v>0</v>
      </c>
      <c r="L74" s="13" t="str">
        <f>IFERROR(VLOOKUP(B66,TABLA1!$B$14:$BF$1596,36,FALSE),"-")</f>
        <v>-</v>
      </c>
      <c r="M74" s="13" t="str">
        <f>IFERROR(VLOOKUP(B66,TABLA1!$B$14:$BF$1596,48,FALSE),"-")</f>
        <v>-</v>
      </c>
      <c r="N74" s="3">
        <v>59</v>
      </c>
      <c r="O74" s="3">
        <v>68</v>
      </c>
      <c r="P74" s="3">
        <f t="shared" si="10"/>
        <v>34</v>
      </c>
      <c r="Q74" s="3">
        <f t="shared" si="11"/>
        <v>43</v>
      </c>
    </row>
    <row r="75" spans="2:17" x14ac:dyDescent="0.25">
      <c r="C75" s="88"/>
      <c r="D75" s="88"/>
      <c r="E75" s="88"/>
      <c r="F75" s="88"/>
      <c r="G75" s="88"/>
      <c r="H75" s="88"/>
      <c r="I75" s="20" t="s">
        <v>35</v>
      </c>
      <c r="J75" s="16"/>
      <c r="K75" s="16"/>
      <c r="L75" s="13"/>
      <c r="M75" s="13"/>
    </row>
    <row r="76" spans="2:17" x14ac:dyDescent="0.25">
      <c r="C76" s="88"/>
      <c r="D76" s="88"/>
      <c r="E76" s="88"/>
      <c r="F76" s="88"/>
      <c r="G76" s="88"/>
      <c r="H76" s="88"/>
      <c r="I76" s="20" t="s">
        <v>36</v>
      </c>
      <c r="J76" s="13"/>
      <c r="K76" s="13"/>
      <c r="L76" s="13"/>
      <c r="M76" s="13"/>
    </row>
    <row r="77" spans="2:17" x14ac:dyDescent="0.25">
      <c r="B77" s="3" t="e">
        <f>TABLA1!#REF!</f>
        <v>#REF!</v>
      </c>
      <c r="C77" s="88" t="e">
        <f>VLOOKUP(B77,TABLA1!$B$14:$BF$1596,2,FALSE)</f>
        <v>#REF!</v>
      </c>
      <c r="D77" s="88" t="e">
        <f>VLOOKUP(B77,TABLA1!$B$14:$BF$1596,3,FALSE)</f>
        <v>#REF!</v>
      </c>
      <c r="E77" s="88" t="e">
        <f>VLOOKUP(B77,TABLA1!$B$14:$BF$1596,4,FALSE)&amp;"/"&amp;VLOOKUP(B77,TABLA1!$B$14:$BF$1596,5,FALSE)</f>
        <v>#REF!</v>
      </c>
      <c r="F77" s="88" t="e">
        <f>VLOOKUP(B77,TABLA1!$B$14:$BF$1596,7,FALSE)</f>
        <v>#REF!</v>
      </c>
      <c r="G77" s="88"/>
      <c r="H77" s="88"/>
      <c r="I77" s="20" t="s">
        <v>46</v>
      </c>
      <c r="J77" s="16" t="str">
        <f>IFERROR(VLOOKUP(B77,TABLA1!$B$14:$BF$1596,27,FALSE),"")</f>
        <v/>
      </c>
      <c r="K77" s="16">
        <f>IFERROR(VLOOKUP(B77,TABLA1!$B$14:$BF$1596,39,FALSE),)</f>
        <v>0</v>
      </c>
      <c r="L77" s="13" t="str">
        <f>IFERROR(VLOOKUP(B78,TABLA1!$B$14:$BF$1596,27,FALSE),"-")</f>
        <v>-</v>
      </c>
      <c r="M77" s="13" t="str">
        <f>IFERROR(VLOOKUP(B78,TABLA1!$B$14:$BF$1596,39,FALSE),"-")</f>
        <v>-</v>
      </c>
      <c r="N77" s="3">
        <v>51</v>
      </c>
      <c r="O77" s="3">
        <v>60</v>
      </c>
      <c r="P77" s="3">
        <f>N77-25</f>
        <v>26</v>
      </c>
      <c r="Q77" s="3">
        <f>O77-25</f>
        <v>35</v>
      </c>
    </row>
    <row r="78" spans="2:17" x14ac:dyDescent="0.25">
      <c r="C78" s="88"/>
      <c r="D78" s="88"/>
      <c r="E78" s="88"/>
      <c r="F78" s="88"/>
      <c r="G78" s="88"/>
      <c r="H78" s="88"/>
      <c r="I78" s="20" t="s">
        <v>47</v>
      </c>
      <c r="J78" s="13">
        <f>IFERROR(VLOOKUP(B77,TABLA1!$B$14:$BF$1596,26,FALSE),)</f>
        <v>0</v>
      </c>
      <c r="K78" s="13">
        <f>IFERROR(VLOOKUP(B77,TABLA1!$B$14:$BF$1596,38,FALSE),)</f>
        <v>0</v>
      </c>
      <c r="L78" s="13" t="str">
        <f>IFERROR(VLOOKUP(B78,TABLA1!$B$14:$BF$1596,26,FALSE),"-")</f>
        <v>-</v>
      </c>
      <c r="M78" s="13" t="str">
        <f>IFERROR(VLOOKUP(B78,TABLA1!$B$14:$BF$1596,38,FALSE),"-")</f>
        <v>-</v>
      </c>
    </row>
    <row r="79" spans="2:17" x14ac:dyDescent="0.25">
      <c r="C79" s="88"/>
      <c r="D79" s="88"/>
      <c r="E79" s="88"/>
      <c r="F79" s="88"/>
      <c r="G79" s="88"/>
      <c r="H79" s="88"/>
      <c r="I79" s="20" t="s">
        <v>10</v>
      </c>
      <c r="J79" s="16">
        <f>IFERROR(VLOOKUP(B77,TABLA1!$B$14:$BF$1596,28,FALSE),)</f>
        <v>0</v>
      </c>
      <c r="K79" s="16">
        <f>IFERROR(VLOOKUP(B77,TABLA1!$B$14:$BF$1596,40,FALSE),)</f>
        <v>0</v>
      </c>
      <c r="L79" s="13" t="str">
        <f>IFERROR(VLOOKUP(B78,TABLA1!$B$14:$BF$1596,28,FALSE),"-")</f>
        <v>-</v>
      </c>
      <c r="M79" s="13" t="str">
        <f>IFERROR(VLOOKUP(B78,TABLA1!$B$14:$BF$1596,40,FALSE),"-")</f>
        <v>-</v>
      </c>
    </row>
    <row r="80" spans="2:17" x14ac:dyDescent="0.25">
      <c r="C80" s="88"/>
      <c r="D80" s="88"/>
      <c r="E80" s="88"/>
      <c r="F80" s="88"/>
      <c r="G80" s="88"/>
      <c r="H80" s="88"/>
      <c r="I80" s="20" t="s">
        <v>11</v>
      </c>
      <c r="J80" s="13">
        <f>IFERROR(VLOOKUP(B77,TABLA1!$B$14:$BF$1596,29,FALSE),)</f>
        <v>0</v>
      </c>
      <c r="K80" s="13">
        <f>IFERROR(VLOOKUP(B77,TABLA1!$B$14:$BF$1596,41,FALSE),)</f>
        <v>0</v>
      </c>
      <c r="L80" s="13" t="str">
        <f>IFERROR(VLOOKUP(B78,TABLA1!$B$14:$BF$1596,29,FALSE),"-")</f>
        <v>-</v>
      </c>
      <c r="M80" s="13" t="str">
        <f>IFERROR(VLOOKUP(B78,TABLA1!$B$14:$BF$1596,41,FALSE),"-")</f>
        <v>-</v>
      </c>
    </row>
    <row r="81" spans="2:17" x14ac:dyDescent="0.25">
      <c r="C81" s="88"/>
      <c r="D81" s="88"/>
      <c r="E81" s="88"/>
      <c r="F81" s="88"/>
      <c r="G81" s="88"/>
      <c r="H81" s="88"/>
      <c r="I81" s="20" t="s">
        <v>48</v>
      </c>
      <c r="J81" s="16">
        <f>IFERROR(VLOOKUP(B77,TABLA1!$B$14:$BF$1596,31,FALSE),)</f>
        <v>0</v>
      </c>
      <c r="K81" s="16">
        <f>IFERROR(VLOOKUP(B77,TABLA1!$B$14:$BF$1596,43,FALSE),)</f>
        <v>0</v>
      </c>
      <c r="L81" s="13" t="str">
        <f>IFERROR(VLOOKUP(B78,TABLA1!$B$14:$BF$1596,31,FALSE),"-")</f>
        <v>-</v>
      </c>
      <c r="M81" s="13" t="str">
        <f>IFERROR(VLOOKUP(B78,TABLA1!$B$14:$BF$1596,43,FALSE),"-")</f>
        <v>-</v>
      </c>
      <c r="N81" s="3">
        <v>52</v>
      </c>
      <c r="O81" s="3">
        <v>61</v>
      </c>
      <c r="P81" s="3">
        <f t="shared" ref="P81:P86" si="12">N81-25</f>
        <v>27</v>
      </c>
      <c r="Q81" s="3">
        <f t="shared" ref="Q81:Q86" si="13">O81-25</f>
        <v>36</v>
      </c>
    </row>
    <row r="82" spans="2:17" x14ac:dyDescent="0.25">
      <c r="C82" s="88"/>
      <c r="D82" s="88"/>
      <c r="E82" s="88"/>
      <c r="F82" s="88"/>
      <c r="G82" s="88"/>
      <c r="H82" s="88"/>
      <c r="I82" s="20" t="s">
        <v>49</v>
      </c>
      <c r="J82" s="16">
        <f>IFERROR(VLOOKUP(B77,TABLA1!$B$14:$BF$1596,30,FALSE),)</f>
        <v>0</v>
      </c>
      <c r="K82" s="16">
        <f>IFERROR(VLOOKUP(B77,TABLA1!$B$14:$BF$1596,42,FALSE),)</f>
        <v>0</v>
      </c>
      <c r="L82" s="13" t="str">
        <f>IFERROR(VLOOKUP(B78,TABLA1!$B$14:$BF$1596,30,FALSE),"-")</f>
        <v>-</v>
      </c>
      <c r="M82" s="13" t="str">
        <f>IFERROR(VLOOKUP(B78,TABLA1!$B$14:$BF$1596,42,FALSE),"-")</f>
        <v>-</v>
      </c>
      <c r="N82" s="3">
        <v>53</v>
      </c>
      <c r="O82" s="3">
        <v>62</v>
      </c>
      <c r="P82" s="3">
        <f t="shared" si="12"/>
        <v>28</v>
      </c>
      <c r="Q82" s="3">
        <f t="shared" si="13"/>
        <v>37</v>
      </c>
    </row>
    <row r="83" spans="2:17" x14ac:dyDescent="0.25">
      <c r="C83" s="88"/>
      <c r="D83" s="88"/>
      <c r="E83" s="88"/>
      <c r="F83" s="88"/>
      <c r="G83" s="88"/>
      <c r="H83" s="88"/>
      <c r="I83" s="20" t="s">
        <v>33</v>
      </c>
      <c r="J83" s="16">
        <f>IFERROR(VLOOKUP(B77,TABLA1!$B$14:$BF$1596,32,FALSE),)</f>
        <v>0</v>
      </c>
      <c r="K83" s="16">
        <f>IFERROR(VLOOKUP(B77,TABLA1!$B$14:$BF$1596,44,FALSE),)</f>
        <v>0</v>
      </c>
      <c r="L83" s="13" t="str">
        <f>IFERROR(VLOOKUP(B78,TABLA1!$B$14:$BF$1596,32,FALSE),"-")</f>
        <v>-</v>
      </c>
      <c r="M83" s="13" t="str">
        <f>IFERROR(VLOOKUP(B78,TABLA1!$B$14:$BF$1596,44,FALSE),"-")</f>
        <v>-</v>
      </c>
      <c r="N83" s="3">
        <v>54</v>
      </c>
      <c r="O83" s="3">
        <v>63</v>
      </c>
      <c r="P83" s="3">
        <f t="shared" si="12"/>
        <v>29</v>
      </c>
      <c r="Q83" s="3">
        <f t="shared" si="13"/>
        <v>38</v>
      </c>
    </row>
    <row r="84" spans="2:17" x14ac:dyDescent="0.25">
      <c r="C84" s="88"/>
      <c r="D84" s="88"/>
      <c r="E84" s="88"/>
      <c r="F84" s="88"/>
      <c r="G84" s="88"/>
      <c r="H84" s="88"/>
      <c r="I84" s="20" t="s">
        <v>50</v>
      </c>
      <c r="J84" s="16">
        <f>IFERROR(VLOOKUP(B77,TABLA1!$B$14:$BF$1596,35,FALSE),)</f>
        <v>0</v>
      </c>
      <c r="K84" s="16">
        <f>IFERROR(VLOOKUP(B77,TABLA1!$B$14:$BF$1596,47,FALSE),)</f>
        <v>0</v>
      </c>
      <c r="L84" s="13" t="str">
        <f>IFERROR(VLOOKUP(B78,TABLA1!$B$14:$BF$1596,35,FALSE),"-")</f>
        <v>-</v>
      </c>
      <c r="M84" s="13" t="str">
        <f>IFERROR(VLOOKUP(B78,TABLA1!$B$14:$BF$1596,47,FALSE),"-")</f>
        <v>-</v>
      </c>
      <c r="N84" s="3">
        <v>56</v>
      </c>
      <c r="O84" s="3">
        <v>65</v>
      </c>
      <c r="P84" s="3">
        <f t="shared" si="12"/>
        <v>31</v>
      </c>
      <c r="Q84" s="3">
        <f t="shared" si="13"/>
        <v>40</v>
      </c>
    </row>
    <row r="85" spans="2:17" x14ac:dyDescent="0.25">
      <c r="C85" s="88"/>
      <c r="D85" s="88"/>
      <c r="E85" s="88"/>
      <c r="F85" s="88"/>
      <c r="G85" s="88"/>
      <c r="H85" s="88"/>
      <c r="I85" s="20" t="s">
        <v>51</v>
      </c>
      <c r="J85" s="16">
        <f>IFERROR(VLOOKUP(B77,TABLA1!$B$14:$BF$1596,34,FALSE),)</f>
        <v>0</v>
      </c>
      <c r="K85" s="16">
        <f>IFERROR(VLOOKUP(B77,TABLA1!$B$14:$BF$1596,46,FALSE),)</f>
        <v>0</v>
      </c>
      <c r="L85" s="13" t="str">
        <f>IFERROR(VLOOKUP(B78,TABLA1!$B$14:$BF$1596,34,FALSE),"-")</f>
        <v>-</v>
      </c>
      <c r="M85" s="13" t="str">
        <f>IFERROR(VLOOKUP(B78,TABLA1!$B$14:$BF$1596,46,FALSE),"-")</f>
        <v>-</v>
      </c>
      <c r="N85" s="3">
        <v>57</v>
      </c>
      <c r="O85" s="3">
        <v>66</v>
      </c>
      <c r="P85" s="3">
        <f t="shared" si="12"/>
        <v>32</v>
      </c>
      <c r="Q85" s="3">
        <f t="shared" si="13"/>
        <v>41</v>
      </c>
    </row>
    <row r="86" spans="2:17" x14ac:dyDescent="0.25">
      <c r="C86" s="88"/>
      <c r="D86" s="88"/>
      <c r="E86" s="88"/>
      <c r="F86" s="88"/>
      <c r="G86" s="88"/>
      <c r="H86" s="88"/>
      <c r="I86" s="20" t="s">
        <v>34</v>
      </c>
      <c r="J86" s="16">
        <f>IFERROR(VLOOKUP(B77,TABLA1!$B$14:$BF$1596,36,FALSE),)</f>
        <v>0</v>
      </c>
      <c r="K86" s="16">
        <f>IFERROR(VLOOKUP(B77,TABLA1!$B$14:$BF$1596,48,FALSE),)</f>
        <v>0</v>
      </c>
      <c r="L86" s="13" t="str">
        <f>IFERROR(VLOOKUP(B78,TABLA1!$B$14:$BF$1596,36,FALSE),"-")</f>
        <v>-</v>
      </c>
      <c r="M86" s="13" t="str">
        <f>IFERROR(VLOOKUP(B78,TABLA1!$B$14:$BF$1596,48,FALSE),"-")</f>
        <v>-</v>
      </c>
      <c r="N86" s="3">
        <v>59</v>
      </c>
      <c r="O86" s="3">
        <v>68</v>
      </c>
      <c r="P86" s="3">
        <f t="shared" si="12"/>
        <v>34</v>
      </c>
      <c r="Q86" s="3">
        <f t="shared" si="13"/>
        <v>43</v>
      </c>
    </row>
    <row r="87" spans="2:17" x14ac:dyDescent="0.25">
      <c r="C87" s="88"/>
      <c r="D87" s="88"/>
      <c r="E87" s="88"/>
      <c r="F87" s="88"/>
      <c r="G87" s="88"/>
      <c r="H87" s="88"/>
      <c r="I87" s="20" t="s">
        <v>35</v>
      </c>
      <c r="J87" s="16"/>
      <c r="K87" s="16"/>
      <c r="L87" s="13"/>
      <c r="M87" s="13"/>
    </row>
    <row r="88" spans="2:17" x14ac:dyDescent="0.25">
      <c r="C88" s="88"/>
      <c r="D88" s="88"/>
      <c r="E88" s="88"/>
      <c r="F88" s="88"/>
      <c r="G88" s="88"/>
      <c r="H88" s="88"/>
      <c r="I88" s="20" t="s">
        <v>36</v>
      </c>
      <c r="J88" s="13"/>
      <c r="K88" s="13"/>
      <c r="L88" s="13"/>
      <c r="M88" s="13"/>
    </row>
    <row r="89" spans="2:17" x14ac:dyDescent="0.25">
      <c r="B89" s="3" t="e">
        <f>TABLA1!#REF!</f>
        <v>#REF!</v>
      </c>
      <c r="C89" s="88" t="e">
        <f>VLOOKUP(B89,TABLA1!$B$14:$BF$1596,2,FALSE)</f>
        <v>#REF!</v>
      </c>
      <c r="D89" s="88" t="e">
        <f>VLOOKUP(B89,TABLA1!$B$14:$BF$1596,3,FALSE)</f>
        <v>#REF!</v>
      </c>
      <c r="E89" s="88" t="e">
        <f>VLOOKUP(B89,TABLA1!$B$14:$BF$1596,4,FALSE)&amp;"/"&amp;VLOOKUP(B89,TABLA1!$B$14:$BF$1596,5,FALSE)</f>
        <v>#REF!</v>
      </c>
      <c r="F89" s="88" t="e">
        <f>VLOOKUP(B89,TABLA1!$B$14:$BF$1596,7,FALSE)</f>
        <v>#REF!</v>
      </c>
      <c r="G89" s="88"/>
      <c r="H89" s="88"/>
      <c r="I89" s="20" t="s">
        <v>46</v>
      </c>
      <c r="J89" s="16" t="str">
        <f>IFERROR(VLOOKUP(B89,TABLA1!$B$14:$BF$1596,27,FALSE),"")</f>
        <v/>
      </c>
      <c r="K89" s="16">
        <f>IFERROR(VLOOKUP(B89,TABLA1!$B$14:$BF$1596,39,FALSE),)</f>
        <v>0</v>
      </c>
      <c r="L89" s="13" t="str">
        <f>IFERROR(VLOOKUP(B90,TABLA1!$B$14:$BF$1596,27,FALSE),"-")</f>
        <v>-</v>
      </c>
      <c r="M89" s="13" t="str">
        <f>IFERROR(VLOOKUP(B90,TABLA1!$B$14:$BF$1596,39,FALSE),"-")</f>
        <v>-</v>
      </c>
      <c r="N89" s="3">
        <v>51</v>
      </c>
      <c r="O89" s="3">
        <v>60</v>
      </c>
      <c r="P89" s="3">
        <f>N89-25</f>
        <v>26</v>
      </c>
      <c r="Q89" s="3">
        <f>O89-25</f>
        <v>35</v>
      </c>
    </row>
    <row r="90" spans="2:17" x14ac:dyDescent="0.25">
      <c r="C90" s="88"/>
      <c r="D90" s="88"/>
      <c r="E90" s="88"/>
      <c r="F90" s="88"/>
      <c r="G90" s="88"/>
      <c r="H90" s="88"/>
      <c r="I90" s="20" t="s">
        <v>47</v>
      </c>
      <c r="J90" s="13">
        <f>IFERROR(VLOOKUP(B89,TABLA1!$B$14:$BF$1596,26,FALSE),)</f>
        <v>0</v>
      </c>
      <c r="K90" s="13">
        <f>IFERROR(VLOOKUP(B89,TABLA1!$B$14:$BF$1596,38,FALSE),)</f>
        <v>0</v>
      </c>
      <c r="L90" s="13" t="str">
        <f>IFERROR(VLOOKUP(B90,TABLA1!$B$14:$BF$1596,26,FALSE),"-")</f>
        <v>-</v>
      </c>
      <c r="M90" s="13" t="str">
        <f>IFERROR(VLOOKUP(B90,TABLA1!$B$14:$BF$1596,38,FALSE),"-")</f>
        <v>-</v>
      </c>
    </row>
    <row r="91" spans="2:17" x14ac:dyDescent="0.25">
      <c r="C91" s="88"/>
      <c r="D91" s="88"/>
      <c r="E91" s="88"/>
      <c r="F91" s="88"/>
      <c r="G91" s="88"/>
      <c r="H91" s="88"/>
      <c r="I91" s="20" t="s">
        <v>10</v>
      </c>
      <c r="J91" s="16">
        <f>IFERROR(VLOOKUP(B89,TABLA1!$B$14:$BF$1596,28,FALSE),)</f>
        <v>0</v>
      </c>
      <c r="K91" s="16">
        <f>IFERROR(VLOOKUP(B89,TABLA1!$B$14:$BF$1596,40,FALSE),)</f>
        <v>0</v>
      </c>
      <c r="L91" s="13" t="str">
        <f>IFERROR(VLOOKUP(B90,TABLA1!$B$14:$BF$1596,28,FALSE),"-")</f>
        <v>-</v>
      </c>
      <c r="M91" s="13" t="str">
        <f>IFERROR(VLOOKUP(B90,TABLA1!$B$14:$BF$1596,40,FALSE),"-")</f>
        <v>-</v>
      </c>
    </row>
    <row r="92" spans="2:17" x14ac:dyDescent="0.25">
      <c r="C92" s="88"/>
      <c r="D92" s="88"/>
      <c r="E92" s="88"/>
      <c r="F92" s="88"/>
      <c r="G92" s="88"/>
      <c r="H92" s="88"/>
      <c r="I92" s="20" t="s">
        <v>11</v>
      </c>
      <c r="J92" s="13">
        <f>IFERROR(VLOOKUP(B89,TABLA1!$B$14:$BF$1596,29,FALSE),)</f>
        <v>0</v>
      </c>
      <c r="K92" s="13">
        <f>IFERROR(VLOOKUP(B89,TABLA1!$B$14:$BF$1596,41,FALSE),)</f>
        <v>0</v>
      </c>
      <c r="L92" s="13" t="str">
        <f>IFERROR(VLOOKUP(B90,TABLA1!$B$14:$BF$1596,29,FALSE),"-")</f>
        <v>-</v>
      </c>
      <c r="M92" s="13" t="str">
        <f>IFERROR(VLOOKUP(B90,TABLA1!$B$14:$BF$1596,41,FALSE),"-")</f>
        <v>-</v>
      </c>
    </row>
    <row r="93" spans="2:17" x14ac:dyDescent="0.25">
      <c r="C93" s="88"/>
      <c r="D93" s="88"/>
      <c r="E93" s="88"/>
      <c r="F93" s="88"/>
      <c r="G93" s="88"/>
      <c r="H93" s="88"/>
      <c r="I93" s="20" t="s">
        <v>48</v>
      </c>
      <c r="J93" s="16">
        <f>IFERROR(VLOOKUP(B89,TABLA1!$B$14:$BF$1596,31,FALSE),)</f>
        <v>0</v>
      </c>
      <c r="K93" s="16">
        <f>IFERROR(VLOOKUP(B89,TABLA1!$B$14:$BF$1596,43,FALSE),)</f>
        <v>0</v>
      </c>
      <c r="L93" s="13" t="str">
        <f>IFERROR(VLOOKUP(B90,TABLA1!$B$14:$BF$1596,31,FALSE),"-")</f>
        <v>-</v>
      </c>
      <c r="M93" s="13" t="str">
        <f>IFERROR(VLOOKUP(B90,TABLA1!$B$14:$BF$1596,43,FALSE),"-")</f>
        <v>-</v>
      </c>
      <c r="N93" s="3">
        <v>52</v>
      </c>
      <c r="O93" s="3">
        <v>61</v>
      </c>
      <c r="P93" s="3">
        <f t="shared" ref="P93:P98" si="14">N93-25</f>
        <v>27</v>
      </c>
      <c r="Q93" s="3">
        <f t="shared" ref="Q93:Q98" si="15">O93-25</f>
        <v>36</v>
      </c>
    </row>
    <row r="94" spans="2:17" x14ac:dyDescent="0.25">
      <c r="C94" s="88"/>
      <c r="D94" s="88"/>
      <c r="E94" s="88"/>
      <c r="F94" s="88"/>
      <c r="G94" s="88"/>
      <c r="H94" s="88"/>
      <c r="I94" s="20" t="s">
        <v>49</v>
      </c>
      <c r="J94" s="16">
        <f>IFERROR(VLOOKUP(B89,TABLA1!$B$14:$BF$1596,30,FALSE),)</f>
        <v>0</v>
      </c>
      <c r="K94" s="16">
        <f>IFERROR(VLOOKUP(B89,TABLA1!$B$14:$BF$1596,42,FALSE),)</f>
        <v>0</v>
      </c>
      <c r="L94" s="13" t="str">
        <f>IFERROR(VLOOKUP(B90,TABLA1!$B$14:$BF$1596,30,FALSE),"-")</f>
        <v>-</v>
      </c>
      <c r="M94" s="13" t="str">
        <f>IFERROR(VLOOKUP(B90,TABLA1!$B$14:$BF$1596,42,FALSE),"-")</f>
        <v>-</v>
      </c>
      <c r="N94" s="3">
        <v>53</v>
      </c>
      <c r="O94" s="3">
        <v>62</v>
      </c>
      <c r="P94" s="3">
        <f t="shared" si="14"/>
        <v>28</v>
      </c>
      <c r="Q94" s="3">
        <f t="shared" si="15"/>
        <v>37</v>
      </c>
    </row>
    <row r="95" spans="2:17" x14ac:dyDescent="0.25">
      <c r="C95" s="88"/>
      <c r="D95" s="88"/>
      <c r="E95" s="88"/>
      <c r="F95" s="88"/>
      <c r="G95" s="88"/>
      <c r="H95" s="88"/>
      <c r="I95" s="20" t="s">
        <v>33</v>
      </c>
      <c r="J95" s="16">
        <f>IFERROR(VLOOKUP(B89,TABLA1!$B$14:$BF$1596,32,FALSE),)</f>
        <v>0</v>
      </c>
      <c r="K95" s="16">
        <f>IFERROR(VLOOKUP(B89,TABLA1!$B$14:$BF$1596,44,FALSE),)</f>
        <v>0</v>
      </c>
      <c r="L95" s="13" t="str">
        <f>IFERROR(VLOOKUP(B90,TABLA1!$B$14:$BF$1596,32,FALSE),"-")</f>
        <v>-</v>
      </c>
      <c r="M95" s="13" t="str">
        <f>IFERROR(VLOOKUP(B90,TABLA1!$B$14:$BF$1596,44,FALSE),"-")</f>
        <v>-</v>
      </c>
      <c r="N95" s="3">
        <v>54</v>
      </c>
      <c r="O95" s="3">
        <v>63</v>
      </c>
      <c r="P95" s="3">
        <f t="shared" si="14"/>
        <v>29</v>
      </c>
      <c r="Q95" s="3">
        <f t="shared" si="15"/>
        <v>38</v>
      </c>
    </row>
    <row r="96" spans="2:17" x14ac:dyDescent="0.25">
      <c r="C96" s="88"/>
      <c r="D96" s="88"/>
      <c r="E96" s="88"/>
      <c r="F96" s="88"/>
      <c r="G96" s="88"/>
      <c r="H96" s="88"/>
      <c r="I96" s="20" t="s">
        <v>50</v>
      </c>
      <c r="J96" s="16">
        <f>IFERROR(VLOOKUP(B89,TABLA1!$B$14:$BF$1596,35,FALSE),)</f>
        <v>0</v>
      </c>
      <c r="K96" s="16">
        <f>IFERROR(VLOOKUP(B89,TABLA1!$B$14:$BF$1596,47,FALSE),)</f>
        <v>0</v>
      </c>
      <c r="L96" s="13" t="str">
        <f>IFERROR(VLOOKUP(B90,TABLA1!$B$14:$BF$1596,35,FALSE),"-")</f>
        <v>-</v>
      </c>
      <c r="M96" s="13" t="str">
        <f>IFERROR(VLOOKUP(B90,TABLA1!$B$14:$BF$1596,47,FALSE),"-")</f>
        <v>-</v>
      </c>
      <c r="N96" s="3">
        <v>56</v>
      </c>
      <c r="O96" s="3">
        <v>65</v>
      </c>
      <c r="P96" s="3">
        <f t="shared" si="14"/>
        <v>31</v>
      </c>
      <c r="Q96" s="3">
        <f t="shared" si="15"/>
        <v>40</v>
      </c>
    </row>
    <row r="97" spans="2:17" x14ac:dyDescent="0.25">
      <c r="C97" s="88"/>
      <c r="D97" s="88"/>
      <c r="E97" s="88"/>
      <c r="F97" s="88"/>
      <c r="G97" s="88"/>
      <c r="H97" s="88"/>
      <c r="I97" s="20" t="s">
        <v>51</v>
      </c>
      <c r="J97" s="16">
        <f>IFERROR(VLOOKUP(B89,TABLA1!$B$14:$BF$1596,34,FALSE),)</f>
        <v>0</v>
      </c>
      <c r="K97" s="16">
        <f>IFERROR(VLOOKUP(B89,TABLA1!$B$14:$BF$1596,46,FALSE),)</f>
        <v>0</v>
      </c>
      <c r="L97" s="13" t="str">
        <f>IFERROR(VLOOKUP(B90,TABLA1!$B$14:$BF$1596,34,FALSE),"-")</f>
        <v>-</v>
      </c>
      <c r="M97" s="13" t="str">
        <f>IFERROR(VLOOKUP(B90,TABLA1!$B$14:$BF$1596,46,FALSE),"-")</f>
        <v>-</v>
      </c>
      <c r="N97" s="3">
        <v>57</v>
      </c>
      <c r="O97" s="3">
        <v>66</v>
      </c>
      <c r="P97" s="3">
        <f t="shared" si="14"/>
        <v>32</v>
      </c>
      <c r="Q97" s="3">
        <f t="shared" si="15"/>
        <v>41</v>
      </c>
    </row>
    <row r="98" spans="2:17" x14ac:dyDescent="0.25">
      <c r="C98" s="88"/>
      <c r="D98" s="88"/>
      <c r="E98" s="88"/>
      <c r="F98" s="88"/>
      <c r="G98" s="88"/>
      <c r="H98" s="88"/>
      <c r="I98" s="20" t="s">
        <v>34</v>
      </c>
      <c r="J98" s="16">
        <f>IFERROR(VLOOKUP(B89,TABLA1!$B$14:$BF$1596,36,FALSE),)</f>
        <v>0</v>
      </c>
      <c r="K98" s="16">
        <f>IFERROR(VLOOKUP(B89,TABLA1!$B$14:$BF$1596,48,FALSE),)</f>
        <v>0</v>
      </c>
      <c r="L98" s="13" t="str">
        <f>IFERROR(VLOOKUP(B90,TABLA1!$B$14:$BF$1596,36,FALSE),"-")</f>
        <v>-</v>
      </c>
      <c r="M98" s="13" t="str">
        <f>IFERROR(VLOOKUP(B90,TABLA1!$B$14:$BF$1596,48,FALSE),"-")</f>
        <v>-</v>
      </c>
      <c r="N98" s="3">
        <v>59</v>
      </c>
      <c r="O98" s="3">
        <v>68</v>
      </c>
      <c r="P98" s="3">
        <f t="shared" si="14"/>
        <v>34</v>
      </c>
      <c r="Q98" s="3">
        <f t="shared" si="15"/>
        <v>43</v>
      </c>
    </row>
    <row r="99" spans="2:17" x14ac:dyDescent="0.25">
      <c r="C99" s="88"/>
      <c r="D99" s="88"/>
      <c r="E99" s="88"/>
      <c r="F99" s="88"/>
      <c r="G99" s="88"/>
      <c r="H99" s="88"/>
      <c r="I99" s="20" t="s">
        <v>35</v>
      </c>
      <c r="J99" s="16"/>
      <c r="K99" s="16"/>
      <c r="L99" s="13"/>
      <c r="M99" s="13"/>
    </row>
    <row r="100" spans="2:17" x14ac:dyDescent="0.25">
      <c r="C100" s="88"/>
      <c r="D100" s="88"/>
      <c r="E100" s="88"/>
      <c r="F100" s="88"/>
      <c r="G100" s="88"/>
      <c r="H100" s="88"/>
      <c r="I100" s="20" t="s">
        <v>36</v>
      </c>
      <c r="J100" s="13"/>
      <c r="K100" s="13"/>
      <c r="L100" s="13"/>
      <c r="M100" s="13"/>
    </row>
    <row r="101" spans="2:17" x14ac:dyDescent="0.25">
      <c r="B101" s="3" t="e">
        <f>TABLA1!#REF!</f>
        <v>#REF!</v>
      </c>
      <c r="C101" s="88" t="e">
        <f>VLOOKUP(B101,TABLA1!$B$14:$BF$1596,2,FALSE)</f>
        <v>#REF!</v>
      </c>
      <c r="D101" s="88" t="e">
        <f>VLOOKUP(B101,TABLA1!$B$14:$BF$1596,3,FALSE)</f>
        <v>#REF!</v>
      </c>
      <c r="E101" s="88" t="e">
        <f>VLOOKUP(B101,TABLA1!$B$14:$BF$1596,4,FALSE)&amp;"/"&amp;VLOOKUP(B101,TABLA1!$B$14:$BF$1596,5,FALSE)</f>
        <v>#REF!</v>
      </c>
      <c r="F101" s="88" t="e">
        <f>VLOOKUP(B101,TABLA1!$B$14:$BF$1596,7,FALSE)</f>
        <v>#REF!</v>
      </c>
      <c r="G101" s="88"/>
      <c r="H101" s="88"/>
      <c r="I101" s="20" t="s">
        <v>46</v>
      </c>
      <c r="J101" s="16" t="str">
        <f>IFERROR(VLOOKUP(B101,TABLA1!$B$14:$BF$1596,27,FALSE),"")</f>
        <v/>
      </c>
      <c r="K101" s="16">
        <f>IFERROR(VLOOKUP(B101,TABLA1!$B$14:$BF$1596,39,FALSE),)</f>
        <v>0</v>
      </c>
      <c r="L101" s="13" t="str">
        <f>IFERROR(VLOOKUP(B102,TABLA1!$B$14:$BF$1596,27,FALSE),"-")</f>
        <v>-</v>
      </c>
      <c r="M101" s="13" t="str">
        <f>IFERROR(VLOOKUP(B102,TABLA1!$B$14:$BF$1596,39,FALSE),"-")</f>
        <v>-</v>
      </c>
      <c r="N101" s="3">
        <v>51</v>
      </c>
      <c r="O101" s="3">
        <v>60</v>
      </c>
      <c r="P101" s="3">
        <f>N101-25</f>
        <v>26</v>
      </c>
      <c r="Q101" s="3">
        <f>O101-25</f>
        <v>35</v>
      </c>
    </row>
    <row r="102" spans="2:17" x14ac:dyDescent="0.25">
      <c r="C102" s="88"/>
      <c r="D102" s="88"/>
      <c r="E102" s="88"/>
      <c r="F102" s="88"/>
      <c r="G102" s="88"/>
      <c r="H102" s="88"/>
      <c r="I102" s="20" t="s">
        <v>47</v>
      </c>
      <c r="J102" s="13">
        <f>IFERROR(VLOOKUP(B101,TABLA1!$B$14:$BF$1596,26,FALSE),)</f>
        <v>0</v>
      </c>
      <c r="K102" s="13">
        <f>IFERROR(VLOOKUP(B101,TABLA1!$B$14:$BF$1596,38,FALSE),)</f>
        <v>0</v>
      </c>
      <c r="L102" s="13" t="str">
        <f>IFERROR(VLOOKUP(B102,TABLA1!$B$14:$BF$1596,26,FALSE),"-")</f>
        <v>-</v>
      </c>
      <c r="M102" s="13" t="str">
        <f>IFERROR(VLOOKUP(B102,TABLA1!$B$14:$BF$1596,38,FALSE),"-")</f>
        <v>-</v>
      </c>
    </row>
    <row r="103" spans="2:17" x14ac:dyDescent="0.25">
      <c r="C103" s="88"/>
      <c r="D103" s="88"/>
      <c r="E103" s="88"/>
      <c r="F103" s="88"/>
      <c r="G103" s="88"/>
      <c r="H103" s="88"/>
      <c r="I103" s="20" t="s">
        <v>10</v>
      </c>
      <c r="J103" s="16">
        <f>IFERROR(VLOOKUP(B101,TABLA1!$B$14:$BF$1596,28,FALSE),)</f>
        <v>0</v>
      </c>
      <c r="K103" s="16">
        <f>IFERROR(VLOOKUP(B101,TABLA1!$B$14:$BF$1596,40,FALSE),)</f>
        <v>0</v>
      </c>
      <c r="L103" s="13" t="str">
        <f>IFERROR(VLOOKUP(B102,TABLA1!$B$14:$BF$1596,28,FALSE),"-")</f>
        <v>-</v>
      </c>
      <c r="M103" s="13" t="str">
        <f>IFERROR(VLOOKUP(B102,TABLA1!$B$14:$BF$1596,40,FALSE),"-")</f>
        <v>-</v>
      </c>
    </row>
    <row r="104" spans="2:17" x14ac:dyDescent="0.25">
      <c r="C104" s="88"/>
      <c r="D104" s="88"/>
      <c r="E104" s="88"/>
      <c r="F104" s="88"/>
      <c r="G104" s="88"/>
      <c r="H104" s="88"/>
      <c r="I104" s="20" t="s">
        <v>11</v>
      </c>
      <c r="J104" s="13">
        <f>IFERROR(VLOOKUP(B101,TABLA1!$B$14:$BF$1596,29,FALSE),)</f>
        <v>0</v>
      </c>
      <c r="K104" s="13">
        <f>IFERROR(VLOOKUP(B101,TABLA1!$B$14:$BF$1596,41,FALSE),)</f>
        <v>0</v>
      </c>
      <c r="L104" s="13" t="str">
        <f>IFERROR(VLOOKUP(B102,TABLA1!$B$14:$BF$1596,29,FALSE),"-")</f>
        <v>-</v>
      </c>
      <c r="M104" s="13" t="str">
        <f>IFERROR(VLOOKUP(B102,TABLA1!$B$14:$BF$1596,41,FALSE),"-")</f>
        <v>-</v>
      </c>
    </row>
    <row r="105" spans="2:17" x14ac:dyDescent="0.25">
      <c r="C105" s="88"/>
      <c r="D105" s="88"/>
      <c r="E105" s="88"/>
      <c r="F105" s="88"/>
      <c r="G105" s="88"/>
      <c r="H105" s="88"/>
      <c r="I105" s="20" t="s">
        <v>48</v>
      </c>
      <c r="J105" s="16">
        <f>IFERROR(VLOOKUP(B101,TABLA1!$B$14:$BF$1596,31,FALSE),)</f>
        <v>0</v>
      </c>
      <c r="K105" s="16">
        <f>IFERROR(VLOOKUP(B101,TABLA1!$B$14:$BF$1596,43,FALSE),)</f>
        <v>0</v>
      </c>
      <c r="L105" s="13" t="str">
        <f>IFERROR(VLOOKUP(B102,TABLA1!$B$14:$BF$1596,31,FALSE),"-")</f>
        <v>-</v>
      </c>
      <c r="M105" s="13" t="str">
        <f>IFERROR(VLOOKUP(B102,TABLA1!$B$14:$BF$1596,43,FALSE),"-")</f>
        <v>-</v>
      </c>
      <c r="N105" s="3">
        <v>52</v>
      </c>
      <c r="O105" s="3">
        <v>61</v>
      </c>
      <c r="P105" s="3">
        <f t="shared" ref="P105:P110" si="16">N105-25</f>
        <v>27</v>
      </c>
      <c r="Q105" s="3">
        <f t="shared" ref="Q105:Q110" si="17">O105-25</f>
        <v>36</v>
      </c>
    </row>
    <row r="106" spans="2:17" x14ac:dyDescent="0.25">
      <c r="C106" s="88"/>
      <c r="D106" s="88"/>
      <c r="E106" s="88"/>
      <c r="F106" s="88"/>
      <c r="G106" s="88"/>
      <c r="H106" s="88"/>
      <c r="I106" s="20" t="s">
        <v>49</v>
      </c>
      <c r="J106" s="16">
        <f>IFERROR(VLOOKUP(B101,TABLA1!$B$14:$BF$1596,30,FALSE),)</f>
        <v>0</v>
      </c>
      <c r="K106" s="16">
        <f>IFERROR(VLOOKUP(B101,TABLA1!$B$14:$BF$1596,42,FALSE),)</f>
        <v>0</v>
      </c>
      <c r="L106" s="13" t="str">
        <f>IFERROR(VLOOKUP(B102,TABLA1!$B$14:$BF$1596,30,FALSE),"-")</f>
        <v>-</v>
      </c>
      <c r="M106" s="13" t="str">
        <f>IFERROR(VLOOKUP(B102,TABLA1!$B$14:$BF$1596,42,FALSE),"-")</f>
        <v>-</v>
      </c>
      <c r="N106" s="3">
        <v>53</v>
      </c>
      <c r="O106" s="3">
        <v>62</v>
      </c>
      <c r="P106" s="3">
        <f t="shared" si="16"/>
        <v>28</v>
      </c>
      <c r="Q106" s="3">
        <f t="shared" si="17"/>
        <v>37</v>
      </c>
    </row>
    <row r="107" spans="2:17" x14ac:dyDescent="0.25">
      <c r="C107" s="88"/>
      <c r="D107" s="88"/>
      <c r="E107" s="88"/>
      <c r="F107" s="88"/>
      <c r="G107" s="88"/>
      <c r="H107" s="88"/>
      <c r="I107" s="20" t="s">
        <v>33</v>
      </c>
      <c r="J107" s="16">
        <f>IFERROR(VLOOKUP(B101,TABLA1!$B$14:$BF$1596,32,FALSE),)</f>
        <v>0</v>
      </c>
      <c r="K107" s="16">
        <f>IFERROR(VLOOKUP(B101,TABLA1!$B$14:$BF$1596,44,FALSE),)</f>
        <v>0</v>
      </c>
      <c r="L107" s="13" t="str">
        <f>IFERROR(VLOOKUP(B102,TABLA1!$B$14:$BF$1596,32,FALSE),"-")</f>
        <v>-</v>
      </c>
      <c r="M107" s="13" t="str">
        <f>IFERROR(VLOOKUP(B102,TABLA1!$B$14:$BF$1596,44,FALSE),"-")</f>
        <v>-</v>
      </c>
      <c r="N107" s="3">
        <v>54</v>
      </c>
      <c r="O107" s="3">
        <v>63</v>
      </c>
      <c r="P107" s="3">
        <f t="shared" si="16"/>
        <v>29</v>
      </c>
      <c r="Q107" s="3">
        <f t="shared" si="17"/>
        <v>38</v>
      </c>
    </row>
    <row r="108" spans="2:17" x14ac:dyDescent="0.25">
      <c r="C108" s="88"/>
      <c r="D108" s="88"/>
      <c r="E108" s="88"/>
      <c r="F108" s="88"/>
      <c r="G108" s="88"/>
      <c r="H108" s="88"/>
      <c r="I108" s="20" t="s">
        <v>50</v>
      </c>
      <c r="J108" s="16">
        <f>IFERROR(VLOOKUP(B101,TABLA1!$B$14:$BF$1596,35,FALSE),)</f>
        <v>0</v>
      </c>
      <c r="K108" s="16">
        <f>IFERROR(VLOOKUP(B101,TABLA1!$B$14:$BF$1596,47,FALSE),)</f>
        <v>0</v>
      </c>
      <c r="L108" s="13" t="str">
        <f>IFERROR(VLOOKUP(B102,TABLA1!$B$14:$BF$1596,35,FALSE),"-")</f>
        <v>-</v>
      </c>
      <c r="M108" s="13" t="str">
        <f>IFERROR(VLOOKUP(B102,TABLA1!$B$14:$BF$1596,47,FALSE),"-")</f>
        <v>-</v>
      </c>
      <c r="N108" s="3">
        <v>56</v>
      </c>
      <c r="O108" s="3">
        <v>65</v>
      </c>
      <c r="P108" s="3">
        <f t="shared" si="16"/>
        <v>31</v>
      </c>
      <c r="Q108" s="3">
        <f t="shared" si="17"/>
        <v>40</v>
      </c>
    </row>
    <row r="109" spans="2:17" x14ac:dyDescent="0.25">
      <c r="C109" s="88"/>
      <c r="D109" s="88"/>
      <c r="E109" s="88"/>
      <c r="F109" s="88"/>
      <c r="G109" s="88"/>
      <c r="H109" s="88"/>
      <c r="I109" s="20" t="s">
        <v>51</v>
      </c>
      <c r="J109" s="16">
        <f>IFERROR(VLOOKUP(B101,TABLA1!$B$14:$BF$1596,34,FALSE),)</f>
        <v>0</v>
      </c>
      <c r="K109" s="16">
        <f>IFERROR(VLOOKUP(B101,TABLA1!$B$14:$BF$1596,46,FALSE),)</f>
        <v>0</v>
      </c>
      <c r="L109" s="13" t="str">
        <f>IFERROR(VLOOKUP(B102,TABLA1!$B$14:$BF$1596,34,FALSE),"-")</f>
        <v>-</v>
      </c>
      <c r="M109" s="13" t="str">
        <f>IFERROR(VLOOKUP(B102,TABLA1!$B$14:$BF$1596,46,FALSE),"-")</f>
        <v>-</v>
      </c>
      <c r="N109" s="3">
        <v>57</v>
      </c>
      <c r="O109" s="3">
        <v>66</v>
      </c>
      <c r="P109" s="3">
        <f t="shared" si="16"/>
        <v>32</v>
      </c>
      <c r="Q109" s="3">
        <f t="shared" si="17"/>
        <v>41</v>
      </c>
    </row>
    <row r="110" spans="2:17" x14ac:dyDescent="0.25">
      <c r="C110" s="88"/>
      <c r="D110" s="88"/>
      <c r="E110" s="88"/>
      <c r="F110" s="88"/>
      <c r="G110" s="88"/>
      <c r="H110" s="88"/>
      <c r="I110" s="20" t="s">
        <v>34</v>
      </c>
      <c r="J110" s="16">
        <f>IFERROR(VLOOKUP(B101,TABLA1!$B$14:$BF$1596,36,FALSE),)</f>
        <v>0</v>
      </c>
      <c r="K110" s="16">
        <f>IFERROR(VLOOKUP(B101,TABLA1!$B$14:$BF$1596,48,FALSE),)</f>
        <v>0</v>
      </c>
      <c r="L110" s="13" t="str">
        <f>IFERROR(VLOOKUP(B102,TABLA1!$B$14:$BF$1596,36,FALSE),"-")</f>
        <v>-</v>
      </c>
      <c r="M110" s="13" t="str">
        <f>IFERROR(VLOOKUP(B102,TABLA1!$B$14:$BF$1596,48,FALSE),"-")</f>
        <v>-</v>
      </c>
      <c r="N110" s="3">
        <v>59</v>
      </c>
      <c r="O110" s="3">
        <v>68</v>
      </c>
      <c r="P110" s="3">
        <f t="shared" si="16"/>
        <v>34</v>
      </c>
      <c r="Q110" s="3">
        <f t="shared" si="17"/>
        <v>43</v>
      </c>
    </row>
    <row r="111" spans="2:17" x14ac:dyDescent="0.25">
      <c r="C111" s="88"/>
      <c r="D111" s="88"/>
      <c r="E111" s="88"/>
      <c r="F111" s="88"/>
      <c r="G111" s="88"/>
      <c r="H111" s="88"/>
      <c r="I111" s="20" t="s">
        <v>35</v>
      </c>
      <c r="J111" s="16"/>
      <c r="K111" s="16"/>
      <c r="L111" s="13"/>
      <c r="M111" s="13"/>
    </row>
    <row r="112" spans="2:17" x14ac:dyDescent="0.25">
      <c r="C112" s="88"/>
      <c r="D112" s="88"/>
      <c r="E112" s="88"/>
      <c r="F112" s="88"/>
      <c r="G112" s="88"/>
      <c r="H112" s="88"/>
      <c r="I112" s="20" t="s">
        <v>36</v>
      </c>
      <c r="J112" s="13"/>
      <c r="K112" s="13"/>
      <c r="L112" s="13"/>
      <c r="M112" s="13"/>
    </row>
    <row r="113" spans="2:17" x14ac:dyDescent="0.25">
      <c r="B113" s="3" t="e">
        <f>TABLA1!#REF!</f>
        <v>#REF!</v>
      </c>
      <c r="C113" s="88" t="e">
        <f>VLOOKUP(B113,TABLA1!$B$14:$BF$1596,2,FALSE)</f>
        <v>#REF!</v>
      </c>
      <c r="D113" s="88" t="e">
        <f>VLOOKUP(B113,TABLA1!$B$14:$BF$1596,3,FALSE)</f>
        <v>#REF!</v>
      </c>
      <c r="E113" s="88" t="e">
        <f>VLOOKUP(B113,TABLA1!$B$14:$BF$1596,4,FALSE)&amp;"/"&amp;VLOOKUP(B113,TABLA1!$B$14:$BF$1596,5,FALSE)</f>
        <v>#REF!</v>
      </c>
      <c r="F113" s="88" t="e">
        <f>VLOOKUP(B113,TABLA1!$B$14:$BF$1596,7,FALSE)</f>
        <v>#REF!</v>
      </c>
      <c r="G113" s="88"/>
      <c r="H113" s="88"/>
      <c r="I113" s="20" t="s">
        <v>46</v>
      </c>
      <c r="J113" s="16" t="str">
        <f>IFERROR(VLOOKUP(B113,TABLA1!$B$14:$BF$1596,27,FALSE),"")</f>
        <v/>
      </c>
      <c r="K113" s="16">
        <f>IFERROR(VLOOKUP(B113,TABLA1!$B$14:$BF$1596,39,FALSE),)</f>
        <v>0</v>
      </c>
      <c r="L113" s="13" t="str">
        <f>IFERROR(VLOOKUP(B114,TABLA1!$B$14:$BF$1596,27,FALSE),"-")</f>
        <v>-</v>
      </c>
      <c r="M113" s="13" t="str">
        <f>IFERROR(VLOOKUP(B114,TABLA1!$B$14:$BF$1596,39,FALSE),"-")</f>
        <v>-</v>
      </c>
      <c r="N113" s="3">
        <v>51</v>
      </c>
      <c r="O113" s="3">
        <v>60</v>
      </c>
      <c r="P113" s="3">
        <f>N113-25</f>
        <v>26</v>
      </c>
      <c r="Q113" s="3">
        <f>O113-25</f>
        <v>35</v>
      </c>
    </row>
    <row r="114" spans="2:17" x14ac:dyDescent="0.25">
      <c r="C114" s="88"/>
      <c r="D114" s="88"/>
      <c r="E114" s="88"/>
      <c r="F114" s="88"/>
      <c r="G114" s="88"/>
      <c r="H114" s="88"/>
      <c r="I114" s="20" t="s">
        <v>47</v>
      </c>
      <c r="J114" s="13">
        <f>IFERROR(VLOOKUP(B113,TABLA1!$B$14:$BF$1596,26,FALSE),)</f>
        <v>0</v>
      </c>
      <c r="K114" s="13">
        <f>IFERROR(VLOOKUP(B113,TABLA1!$B$14:$BF$1596,38,FALSE),)</f>
        <v>0</v>
      </c>
      <c r="L114" s="13" t="str">
        <f>IFERROR(VLOOKUP(B114,TABLA1!$B$14:$BF$1596,26,FALSE),"-")</f>
        <v>-</v>
      </c>
      <c r="M114" s="13" t="str">
        <f>IFERROR(VLOOKUP(B114,TABLA1!$B$14:$BF$1596,38,FALSE),"-")</f>
        <v>-</v>
      </c>
    </row>
    <row r="115" spans="2:17" x14ac:dyDescent="0.25">
      <c r="C115" s="88"/>
      <c r="D115" s="88"/>
      <c r="E115" s="88"/>
      <c r="F115" s="88"/>
      <c r="G115" s="88"/>
      <c r="H115" s="88"/>
      <c r="I115" s="20" t="s">
        <v>10</v>
      </c>
      <c r="J115" s="16">
        <f>IFERROR(VLOOKUP(B113,TABLA1!$B$14:$BF$1596,28,FALSE),)</f>
        <v>0</v>
      </c>
      <c r="K115" s="16">
        <f>IFERROR(VLOOKUP(B113,TABLA1!$B$14:$BF$1596,40,FALSE),)</f>
        <v>0</v>
      </c>
      <c r="L115" s="13" t="str">
        <f>IFERROR(VLOOKUP(B114,TABLA1!$B$14:$BF$1596,28,FALSE),"-")</f>
        <v>-</v>
      </c>
      <c r="M115" s="13" t="str">
        <f>IFERROR(VLOOKUP(B114,TABLA1!$B$14:$BF$1596,40,FALSE),"-")</f>
        <v>-</v>
      </c>
    </row>
    <row r="116" spans="2:17" x14ac:dyDescent="0.25">
      <c r="C116" s="88"/>
      <c r="D116" s="88"/>
      <c r="E116" s="88"/>
      <c r="F116" s="88"/>
      <c r="G116" s="88"/>
      <c r="H116" s="88"/>
      <c r="I116" s="20" t="s">
        <v>11</v>
      </c>
      <c r="J116" s="13">
        <f>IFERROR(VLOOKUP(B113,TABLA1!$B$14:$BF$1596,29,FALSE),)</f>
        <v>0</v>
      </c>
      <c r="K116" s="13">
        <f>IFERROR(VLOOKUP(B113,TABLA1!$B$14:$BF$1596,41,FALSE),)</f>
        <v>0</v>
      </c>
      <c r="L116" s="13" t="str">
        <f>IFERROR(VLOOKUP(B114,TABLA1!$B$14:$BF$1596,29,FALSE),"-")</f>
        <v>-</v>
      </c>
      <c r="M116" s="13" t="str">
        <f>IFERROR(VLOOKUP(B114,TABLA1!$B$14:$BF$1596,41,FALSE),"-")</f>
        <v>-</v>
      </c>
    </row>
    <row r="117" spans="2:17" x14ac:dyDescent="0.25">
      <c r="C117" s="88"/>
      <c r="D117" s="88"/>
      <c r="E117" s="88"/>
      <c r="F117" s="88"/>
      <c r="G117" s="88"/>
      <c r="H117" s="88"/>
      <c r="I117" s="20" t="s">
        <v>48</v>
      </c>
      <c r="J117" s="16">
        <f>IFERROR(VLOOKUP(B113,TABLA1!$B$14:$BF$1596,31,FALSE),)</f>
        <v>0</v>
      </c>
      <c r="K117" s="16">
        <f>IFERROR(VLOOKUP(B113,TABLA1!$B$14:$BF$1596,43,FALSE),)</f>
        <v>0</v>
      </c>
      <c r="L117" s="13" t="str">
        <f>IFERROR(VLOOKUP(B114,TABLA1!$B$14:$BF$1596,31,FALSE),"-")</f>
        <v>-</v>
      </c>
      <c r="M117" s="13" t="str">
        <f>IFERROR(VLOOKUP(B114,TABLA1!$B$14:$BF$1596,43,FALSE),"-")</f>
        <v>-</v>
      </c>
      <c r="N117" s="3">
        <v>52</v>
      </c>
      <c r="O117" s="3">
        <v>61</v>
      </c>
      <c r="P117" s="3">
        <f t="shared" ref="P117:P122" si="18">N117-25</f>
        <v>27</v>
      </c>
      <c r="Q117" s="3">
        <f t="shared" ref="Q117:Q122" si="19">O117-25</f>
        <v>36</v>
      </c>
    </row>
    <row r="118" spans="2:17" x14ac:dyDescent="0.25">
      <c r="C118" s="88"/>
      <c r="D118" s="88"/>
      <c r="E118" s="88"/>
      <c r="F118" s="88"/>
      <c r="G118" s="88"/>
      <c r="H118" s="88"/>
      <c r="I118" s="20" t="s">
        <v>49</v>
      </c>
      <c r="J118" s="16">
        <f>IFERROR(VLOOKUP(B113,TABLA1!$B$14:$BF$1596,30,FALSE),)</f>
        <v>0</v>
      </c>
      <c r="K118" s="16">
        <f>IFERROR(VLOOKUP(B113,TABLA1!$B$14:$BF$1596,42,FALSE),)</f>
        <v>0</v>
      </c>
      <c r="L118" s="13" t="str">
        <f>IFERROR(VLOOKUP(B114,TABLA1!$B$14:$BF$1596,30,FALSE),"-")</f>
        <v>-</v>
      </c>
      <c r="M118" s="13" t="str">
        <f>IFERROR(VLOOKUP(B114,TABLA1!$B$14:$BF$1596,42,FALSE),"-")</f>
        <v>-</v>
      </c>
      <c r="N118" s="3">
        <v>53</v>
      </c>
      <c r="O118" s="3">
        <v>62</v>
      </c>
      <c r="P118" s="3">
        <f t="shared" si="18"/>
        <v>28</v>
      </c>
      <c r="Q118" s="3">
        <f t="shared" si="19"/>
        <v>37</v>
      </c>
    </row>
    <row r="119" spans="2:17" x14ac:dyDescent="0.25">
      <c r="C119" s="88"/>
      <c r="D119" s="88"/>
      <c r="E119" s="88"/>
      <c r="F119" s="88"/>
      <c r="G119" s="88"/>
      <c r="H119" s="88"/>
      <c r="I119" s="20" t="s">
        <v>33</v>
      </c>
      <c r="J119" s="16">
        <f>IFERROR(VLOOKUP(B113,TABLA1!$B$14:$BF$1596,32,FALSE),)</f>
        <v>0</v>
      </c>
      <c r="K119" s="16">
        <f>IFERROR(VLOOKUP(B113,TABLA1!$B$14:$BF$1596,44,FALSE),)</f>
        <v>0</v>
      </c>
      <c r="L119" s="13" t="str">
        <f>IFERROR(VLOOKUP(B114,TABLA1!$B$14:$BF$1596,32,FALSE),"-")</f>
        <v>-</v>
      </c>
      <c r="M119" s="13" t="str">
        <f>IFERROR(VLOOKUP(B114,TABLA1!$B$14:$BF$1596,44,FALSE),"-")</f>
        <v>-</v>
      </c>
      <c r="N119" s="3">
        <v>54</v>
      </c>
      <c r="O119" s="3">
        <v>63</v>
      </c>
      <c r="P119" s="3">
        <f t="shared" si="18"/>
        <v>29</v>
      </c>
      <c r="Q119" s="3">
        <f t="shared" si="19"/>
        <v>38</v>
      </c>
    </row>
    <row r="120" spans="2:17" x14ac:dyDescent="0.25">
      <c r="C120" s="88"/>
      <c r="D120" s="88"/>
      <c r="E120" s="88"/>
      <c r="F120" s="88"/>
      <c r="G120" s="88"/>
      <c r="H120" s="88"/>
      <c r="I120" s="20" t="s">
        <v>50</v>
      </c>
      <c r="J120" s="16">
        <f>IFERROR(VLOOKUP(B113,TABLA1!$B$14:$BF$1596,35,FALSE),)</f>
        <v>0</v>
      </c>
      <c r="K120" s="16">
        <f>IFERROR(VLOOKUP(B113,TABLA1!$B$14:$BF$1596,47,FALSE),)</f>
        <v>0</v>
      </c>
      <c r="L120" s="13" t="str">
        <f>IFERROR(VLOOKUP(B114,TABLA1!$B$14:$BF$1596,35,FALSE),"-")</f>
        <v>-</v>
      </c>
      <c r="M120" s="13" t="str">
        <f>IFERROR(VLOOKUP(B114,TABLA1!$B$14:$BF$1596,47,FALSE),"-")</f>
        <v>-</v>
      </c>
      <c r="N120" s="3">
        <v>56</v>
      </c>
      <c r="O120" s="3">
        <v>65</v>
      </c>
      <c r="P120" s="3">
        <f t="shared" si="18"/>
        <v>31</v>
      </c>
      <c r="Q120" s="3">
        <f t="shared" si="19"/>
        <v>40</v>
      </c>
    </row>
    <row r="121" spans="2:17" x14ac:dyDescent="0.25">
      <c r="C121" s="88"/>
      <c r="D121" s="88"/>
      <c r="E121" s="88"/>
      <c r="F121" s="88"/>
      <c r="G121" s="88"/>
      <c r="H121" s="88"/>
      <c r="I121" s="20" t="s">
        <v>51</v>
      </c>
      <c r="J121" s="16">
        <f>IFERROR(VLOOKUP(B113,TABLA1!$B$14:$BF$1596,34,FALSE),)</f>
        <v>0</v>
      </c>
      <c r="K121" s="16">
        <f>IFERROR(VLOOKUP(B113,TABLA1!$B$14:$BF$1596,46,FALSE),)</f>
        <v>0</v>
      </c>
      <c r="L121" s="13" t="str">
        <f>IFERROR(VLOOKUP(B114,TABLA1!$B$14:$BF$1596,34,FALSE),"-")</f>
        <v>-</v>
      </c>
      <c r="M121" s="13" t="str">
        <f>IFERROR(VLOOKUP(B114,TABLA1!$B$14:$BF$1596,46,FALSE),"-")</f>
        <v>-</v>
      </c>
      <c r="N121" s="3">
        <v>57</v>
      </c>
      <c r="O121" s="3">
        <v>66</v>
      </c>
      <c r="P121" s="3">
        <f t="shared" si="18"/>
        <v>32</v>
      </c>
      <c r="Q121" s="3">
        <f t="shared" si="19"/>
        <v>41</v>
      </c>
    </row>
    <row r="122" spans="2:17" x14ac:dyDescent="0.25">
      <c r="C122" s="88"/>
      <c r="D122" s="88"/>
      <c r="E122" s="88"/>
      <c r="F122" s="88"/>
      <c r="G122" s="88"/>
      <c r="H122" s="88"/>
      <c r="I122" s="20" t="s">
        <v>34</v>
      </c>
      <c r="J122" s="16">
        <f>IFERROR(VLOOKUP(B113,TABLA1!$B$14:$BF$1596,36,FALSE),)</f>
        <v>0</v>
      </c>
      <c r="K122" s="16">
        <f>IFERROR(VLOOKUP(B113,TABLA1!$B$14:$BF$1596,48,FALSE),)</f>
        <v>0</v>
      </c>
      <c r="L122" s="13" t="str">
        <f>IFERROR(VLOOKUP(B114,TABLA1!$B$14:$BF$1596,36,FALSE),"-")</f>
        <v>-</v>
      </c>
      <c r="M122" s="13" t="str">
        <f>IFERROR(VLOOKUP(B114,TABLA1!$B$14:$BF$1596,48,FALSE),"-")</f>
        <v>-</v>
      </c>
      <c r="N122" s="3">
        <v>59</v>
      </c>
      <c r="O122" s="3">
        <v>68</v>
      </c>
      <c r="P122" s="3">
        <f t="shared" si="18"/>
        <v>34</v>
      </c>
      <c r="Q122" s="3">
        <f t="shared" si="19"/>
        <v>43</v>
      </c>
    </row>
    <row r="123" spans="2:17" x14ac:dyDescent="0.25">
      <c r="C123" s="88"/>
      <c r="D123" s="88"/>
      <c r="E123" s="88"/>
      <c r="F123" s="88"/>
      <c r="G123" s="88"/>
      <c r="H123" s="88"/>
      <c r="I123" s="20" t="s">
        <v>35</v>
      </c>
      <c r="J123" s="16"/>
      <c r="K123" s="16"/>
      <c r="L123" s="13"/>
      <c r="M123" s="13"/>
    </row>
    <row r="124" spans="2:17" x14ac:dyDescent="0.25">
      <c r="C124" s="88"/>
      <c r="D124" s="88"/>
      <c r="E124" s="88"/>
      <c r="F124" s="88"/>
      <c r="G124" s="88"/>
      <c r="H124" s="88"/>
      <c r="I124" s="20" t="s">
        <v>36</v>
      </c>
      <c r="J124" s="13"/>
      <c r="K124" s="13"/>
      <c r="L124" s="13"/>
      <c r="M124" s="13"/>
    </row>
    <row r="125" spans="2:17" x14ac:dyDescent="0.25">
      <c r="B125" s="3">
        <f>TABLA1!B21</f>
        <v>0</v>
      </c>
      <c r="C125" s="88" t="e">
        <f>VLOOKUP(B125,TABLA1!$B$14:$BF$1596,2,FALSE)</f>
        <v>#N/A</v>
      </c>
      <c r="D125" s="88" t="e">
        <f>VLOOKUP(B125,TABLA1!$B$14:$BF$1596,3,FALSE)</f>
        <v>#N/A</v>
      </c>
      <c r="E125" s="88" t="e">
        <f>VLOOKUP(B125,TABLA1!$B$14:$BF$1596,4,FALSE)&amp;"/"&amp;VLOOKUP(B125,TABLA1!$B$14:$BF$1596,5,FALSE)</f>
        <v>#N/A</v>
      </c>
      <c r="F125" s="88" t="e">
        <f>VLOOKUP(B125,TABLA1!$B$14:$BF$1596,7,FALSE)</f>
        <v>#N/A</v>
      </c>
      <c r="G125" s="88"/>
      <c r="H125" s="88"/>
      <c r="I125" s="20" t="s">
        <v>46</v>
      </c>
      <c r="J125" s="16" t="str">
        <f>IFERROR(VLOOKUP(B125,TABLA1!$B$14:$BF$1596,27,FALSE),"")</f>
        <v/>
      </c>
      <c r="K125" s="16">
        <f>IFERROR(VLOOKUP(B125,TABLA1!$B$14:$BF$1596,39,FALSE),)</f>
        <v>0</v>
      </c>
      <c r="L125" s="13" t="str">
        <f>IFERROR(VLOOKUP(B126,TABLA1!$B$14:$BF$1596,27,FALSE),"-")</f>
        <v>-</v>
      </c>
      <c r="M125" s="13" t="str">
        <f>IFERROR(VLOOKUP(B126,TABLA1!$B$14:$BF$1596,39,FALSE),"-")</f>
        <v>-</v>
      </c>
      <c r="N125" s="3">
        <v>51</v>
      </c>
      <c r="O125" s="3">
        <v>60</v>
      </c>
      <c r="P125" s="3">
        <f>N125-25</f>
        <v>26</v>
      </c>
      <c r="Q125" s="3">
        <f>O125-25</f>
        <v>35</v>
      </c>
    </row>
    <row r="126" spans="2:17" x14ac:dyDescent="0.25">
      <c r="C126" s="88"/>
      <c r="D126" s="88"/>
      <c r="E126" s="88"/>
      <c r="F126" s="88"/>
      <c r="G126" s="88"/>
      <c r="H126" s="88"/>
      <c r="I126" s="20" t="s">
        <v>47</v>
      </c>
      <c r="J126" s="13">
        <f>IFERROR(VLOOKUP(B125,TABLA1!$B$14:$BF$1596,26,FALSE),)</f>
        <v>0</v>
      </c>
      <c r="K126" s="13">
        <f>IFERROR(VLOOKUP(B125,TABLA1!$B$14:$BF$1596,38,FALSE),)</f>
        <v>0</v>
      </c>
      <c r="L126" s="13" t="str">
        <f>IFERROR(VLOOKUP(B126,TABLA1!$B$14:$BF$1596,26,FALSE),"-")</f>
        <v>-</v>
      </c>
      <c r="M126" s="13" t="str">
        <f>IFERROR(VLOOKUP(B126,TABLA1!$B$14:$BF$1596,38,FALSE),"-")</f>
        <v>-</v>
      </c>
    </row>
    <row r="127" spans="2:17" x14ac:dyDescent="0.25">
      <c r="C127" s="88"/>
      <c r="D127" s="88"/>
      <c r="E127" s="88"/>
      <c r="F127" s="88"/>
      <c r="G127" s="88"/>
      <c r="H127" s="88"/>
      <c r="I127" s="20" t="s">
        <v>10</v>
      </c>
      <c r="J127" s="16">
        <f>IFERROR(VLOOKUP(B125,TABLA1!$B$14:$BF$1596,28,FALSE),)</f>
        <v>0</v>
      </c>
      <c r="K127" s="16">
        <f>IFERROR(VLOOKUP(B125,TABLA1!$B$14:$BF$1596,40,FALSE),)</f>
        <v>0</v>
      </c>
      <c r="L127" s="13" t="str">
        <f>IFERROR(VLOOKUP(B126,TABLA1!$B$14:$BF$1596,28,FALSE),"-")</f>
        <v>-</v>
      </c>
      <c r="M127" s="13" t="str">
        <f>IFERROR(VLOOKUP(B126,TABLA1!$B$14:$BF$1596,40,FALSE),"-")</f>
        <v>-</v>
      </c>
    </row>
    <row r="128" spans="2:17" x14ac:dyDescent="0.25">
      <c r="C128" s="88"/>
      <c r="D128" s="88"/>
      <c r="E128" s="88"/>
      <c r="F128" s="88"/>
      <c r="G128" s="88"/>
      <c r="H128" s="88"/>
      <c r="I128" s="20" t="s">
        <v>11</v>
      </c>
      <c r="J128" s="13">
        <f>IFERROR(VLOOKUP(B125,TABLA1!$B$14:$BF$1596,29,FALSE),)</f>
        <v>0</v>
      </c>
      <c r="K128" s="13">
        <f>IFERROR(VLOOKUP(B125,TABLA1!$B$14:$BF$1596,41,FALSE),)</f>
        <v>0</v>
      </c>
      <c r="L128" s="13" t="str">
        <f>IFERROR(VLOOKUP(B126,TABLA1!$B$14:$BF$1596,29,FALSE),"-")</f>
        <v>-</v>
      </c>
      <c r="M128" s="13" t="str">
        <f>IFERROR(VLOOKUP(B126,TABLA1!$B$14:$BF$1596,41,FALSE),"-")</f>
        <v>-</v>
      </c>
    </row>
    <row r="129" spans="2:17" x14ac:dyDescent="0.25">
      <c r="C129" s="88"/>
      <c r="D129" s="88"/>
      <c r="E129" s="88"/>
      <c r="F129" s="88"/>
      <c r="G129" s="88"/>
      <c r="H129" s="88"/>
      <c r="I129" s="20" t="s">
        <v>48</v>
      </c>
      <c r="J129" s="16">
        <f>IFERROR(VLOOKUP(B125,TABLA1!$B$14:$BF$1596,31,FALSE),)</f>
        <v>0</v>
      </c>
      <c r="K129" s="16">
        <f>IFERROR(VLOOKUP(B125,TABLA1!$B$14:$BF$1596,43,FALSE),)</f>
        <v>0</v>
      </c>
      <c r="L129" s="13" t="str">
        <f>IFERROR(VLOOKUP(B126,TABLA1!$B$14:$BF$1596,31,FALSE),"-")</f>
        <v>-</v>
      </c>
      <c r="M129" s="13" t="str">
        <f>IFERROR(VLOOKUP(B126,TABLA1!$B$14:$BF$1596,43,FALSE),"-")</f>
        <v>-</v>
      </c>
      <c r="N129" s="3">
        <v>52</v>
      </c>
      <c r="O129" s="3">
        <v>61</v>
      </c>
      <c r="P129" s="3">
        <f t="shared" ref="P129:P134" si="20">N129-25</f>
        <v>27</v>
      </c>
      <c r="Q129" s="3">
        <f t="shared" ref="Q129:Q134" si="21">O129-25</f>
        <v>36</v>
      </c>
    </row>
    <row r="130" spans="2:17" x14ac:dyDescent="0.25">
      <c r="C130" s="88"/>
      <c r="D130" s="88"/>
      <c r="E130" s="88"/>
      <c r="F130" s="88"/>
      <c r="G130" s="88"/>
      <c r="H130" s="88"/>
      <c r="I130" s="20" t="s">
        <v>49</v>
      </c>
      <c r="J130" s="16">
        <f>IFERROR(VLOOKUP(B125,TABLA1!$B$14:$BF$1596,30,FALSE),)</f>
        <v>0</v>
      </c>
      <c r="K130" s="16">
        <f>IFERROR(VLOOKUP(B125,TABLA1!$B$14:$BF$1596,42,FALSE),)</f>
        <v>0</v>
      </c>
      <c r="L130" s="13" t="str">
        <f>IFERROR(VLOOKUP(B126,TABLA1!$B$14:$BF$1596,30,FALSE),"-")</f>
        <v>-</v>
      </c>
      <c r="M130" s="13" t="str">
        <f>IFERROR(VLOOKUP(B126,TABLA1!$B$14:$BF$1596,42,FALSE),"-")</f>
        <v>-</v>
      </c>
      <c r="N130" s="3">
        <v>53</v>
      </c>
      <c r="O130" s="3">
        <v>62</v>
      </c>
      <c r="P130" s="3">
        <f t="shared" si="20"/>
        <v>28</v>
      </c>
      <c r="Q130" s="3">
        <f t="shared" si="21"/>
        <v>37</v>
      </c>
    </row>
    <row r="131" spans="2:17" x14ac:dyDescent="0.25">
      <c r="C131" s="88"/>
      <c r="D131" s="88"/>
      <c r="E131" s="88"/>
      <c r="F131" s="88"/>
      <c r="G131" s="88"/>
      <c r="H131" s="88"/>
      <c r="I131" s="20" t="s">
        <v>33</v>
      </c>
      <c r="J131" s="16">
        <f>IFERROR(VLOOKUP(B125,TABLA1!$B$14:$BF$1596,32,FALSE),)</f>
        <v>0</v>
      </c>
      <c r="K131" s="16">
        <f>IFERROR(VLOOKUP(B125,TABLA1!$B$14:$BF$1596,44,FALSE),)</f>
        <v>0</v>
      </c>
      <c r="L131" s="13" t="str">
        <f>IFERROR(VLOOKUP(B126,TABLA1!$B$14:$BF$1596,32,FALSE),"-")</f>
        <v>-</v>
      </c>
      <c r="M131" s="13" t="str">
        <f>IFERROR(VLOOKUP(B126,TABLA1!$B$14:$BF$1596,44,FALSE),"-")</f>
        <v>-</v>
      </c>
      <c r="N131" s="3">
        <v>54</v>
      </c>
      <c r="O131" s="3">
        <v>63</v>
      </c>
      <c r="P131" s="3">
        <f t="shared" si="20"/>
        <v>29</v>
      </c>
      <c r="Q131" s="3">
        <f t="shared" si="21"/>
        <v>38</v>
      </c>
    </row>
    <row r="132" spans="2:17" x14ac:dyDescent="0.25">
      <c r="C132" s="88"/>
      <c r="D132" s="88"/>
      <c r="E132" s="88"/>
      <c r="F132" s="88"/>
      <c r="G132" s="88"/>
      <c r="H132" s="88"/>
      <c r="I132" s="20" t="s">
        <v>50</v>
      </c>
      <c r="J132" s="16">
        <f>IFERROR(VLOOKUP(B125,TABLA1!$B$14:$BF$1596,35,FALSE),)</f>
        <v>0</v>
      </c>
      <c r="K132" s="16">
        <f>IFERROR(VLOOKUP(B125,TABLA1!$B$14:$BF$1596,47,FALSE),)</f>
        <v>0</v>
      </c>
      <c r="L132" s="13" t="str">
        <f>IFERROR(VLOOKUP(B126,TABLA1!$B$14:$BF$1596,35,FALSE),"-")</f>
        <v>-</v>
      </c>
      <c r="M132" s="13" t="str">
        <f>IFERROR(VLOOKUP(B126,TABLA1!$B$14:$BF$1596,47,FALSE),"-")</f>
        <v>-</v>
      </c>
      <c r="N132" s="3">
        <v>56</v>
      </c>
      <c r="O132" s="3">
        <v>65</v>
      </c>
      <c r="P132" s="3">
        <f t="shared" si="20"/>
        <v>31</v>
      </c>
      <c r="Q132" s="3">
        <f t="shared" si="21"/>
        <v>40</v>
      </c>
    </row>
    <row r="133" spans="2:17" x14ac:dyDescent="0.25">
      <c r="C133" s="88"/>
      <c r="D133" s="88"/>
      <c r="E133" s="88"/>
      <c r="F133" s="88"/>
      <c r="G133" s="88"/>
      <c r="H133" s="88"/>
      <c r="I133" s="20" t="s">
        <v>51</v>
      </c>
      <c r="J133" s="16">
        <f>IFERROR(VLOOKUP(B125,TABLA1!$B$14:$BF$1596,34,FALSE),)</f>
        <v>0</v>
      </c>
      <c r="K133" s="16">
        <f>IFERROR(VLOOKUP(B125,TABLA1!$B$14:$BF$1596,46,FALSE),)</f>
        <v>0</v>
      </c>
      <c r="L133" s="13" t="str">
        <f>IFERROR(VLOOKUP(B126,TABLA1!$B$14:$BF$1596,34,FALSE),"-")</f>
        <v>-</v>
      </c>
      <c r="M133" s="13" t="str">
        <f>IFERROR(VLOOKUP(B126,TABLA1!$B$14:$BF$1596,46,FALSE),"-")</f>
        <v>-</v>
      </c>
      <c r="N133" s="3">
        <v>57</v>
      </c>
      <c r="O133" s="3">
        <v>66</v>
      </c>
      <c r="P133" s="3">
        <f t="shared" si="20"/>
        <v>32</v>
      </c>
      <c r="Q133" s="3">
        <f t="shared" si="21"/>
        <v>41</v>
      </c>
    </row>
    <row r="134" spans="2:17" x14ac:dyDescent="0.25">
      <c r="C134" s="88"/>
      <c r="D134" s="88"/>
      <c r="E134" s="88"/>
      <c r="F134" s="88"/>
      <c r="G134" s="88"/>
      <c r="H134" s="88"/>
      <c r="I134" s="20" t="s">
        <v>34</v>
      </c>
      <c r="J134" s="16">
        <f>IFERROR(VLOOKUP(B125,TABLA1!$B$14:$BF$1596,36,FALSE),)</f>
        <v>0</v>
      </c>
      <c r="K134" s="16">
        <f>IFERROR(VLOOKUP(B125,TABLA1!$B$14:$BF$1596,48,FALSE),)</f>
        <v>0</v>
      </c>
      <c r="L134" s="13" t="str">
        <f>IFERROR(VLOOKUP(B126,TABLA1!$B$14:$BF$1596,36,FALSE),"-")</f>
        <v>-</v>
      </c>
      <c r="M134" s="13" t="str">
        <f>IFERROR(VLOOKUP(B126,TABLA1!$B$14:$BF$1596,48,FALSE),"-")</f>
        <v>-</v>
      </c>
      <c r="N134" s="3">
        <v>59</v>
      </c>
      <c r="O134" s="3">
        <v>68</v>
      </c>
      <c r="P134" s="3">
        <f t="shared" si="20"/>
        <v>34</v>
      </c>
      <c r="Q134" s="3">
        <f t="shared" si="21"/>
        <v>43</v>
      </c>
    </row>
    <row r="135" spans="2:17" x14ac:dyDescent="0.25">
      <c r="C135" s="88"/>
      <c r="D135" s="88"/>
      <c r="E135" s="88"/>
      <c r="F135" s="88"/>
      <c r="G135" s="88"/>
      <c r="H135" s="88"/>
      <c r="I135" s="20" t="s">
        <v>35</v>
      </c>
      <c r="J135" s="16"/>
      <c r="K135" s="16"/>
      <c r="L135" s="13"/>
      <c r="M135" s="13"/>
    </row>
    <row r="136" spans="2:17" x14ac:dyDescent="0.25">
      <c r="C136" s="88"/>
      <c r="D136" s="88"/>
      <c r="E136" s="88"/>
      <c r="F136" s="88"/>
      <c r="G136" s="88"/>
      <c r="H136" s="88"/>
      <c r="I136" s="20" t="s">
        <v>36</v>
      </c>
      <c r="J136" s="13"/>
      <c r="K136" s="13"/>
      <c r="L136" s="13"/>
      <c r="M136" s="13"/>
    </row>
    <row r="137" spans="2:17" x14ac:dyDescent="0.25">
      <c r="B137" s="3">
        <f>TABLA1!B22</f>
        <v>0</v>
      </c>
      <c r="C137" s="88" t="e">
        <f>VLOOKUP(B137,TABLA1!$B$14:$BF$1596,2,FALSE)</f>
        <v>#N/A</v>
      </c>
      <c r="D137" s="88" t="e">
        <f>VLOOKUP(B137,TABLA1!$B$14:$BF$1596,3,FALSE)</f>
        <v>#N/A</v>
      </c>
      <c r="E137" s="88" t="e">
        <f>VLOOKUP(B137,TABLA1!$B$14:$BF$1596,4,FALSE)&amp;"/"&amp;VLOOKUP(B137,TABLA1!$B$14:$BF$1596,5,FALSE)</f>
        <v>#N/A</v>
      </c>
      <c r="F137" s="88" t="e">
        <f>VLOOKUP(B137,TABLA1!$B$14:$BF$1596,7,FALSE)</f>
        <v>#N/A</v>
      </c>
      <c r="G137" s="88"/>
      <c r="H137" s="88"/>
      <c r="I137" s="20" t="s">
        <v>46</v>
      </c>
      <c r="J137" s="16" t="str">
        <f>IFERROR(VLOOKUP(B137,TABLA1!$B$14:$BF$1596,27,FALSE),"")</f>
        <v/>
      </c>
      <c r="K137" s="16">
        <f>IFERROR(VLOOKUP(B137,TABLA1!$B$14:$BF$1596,39,FALSE),)</f>
        <v>0</v>
      </c>
      <c r="L137" s="13" t="str">
        <f>IFERROR(VLOOKUP(B138,TABLA1!$B$14:$BF$1596,27,FALSE),"-")</f>
        <v>-</v>
      </c>
      <c r="M137" s="13" t="str">
        <f>IFERROR(VLOOKUP(B138,TABLA1!$B$14:$BF$1596,39,FALSE),"-")</f>
        <v>-</v>
      </c>
      <c r="N137" s="3">
        <v>51</v>
      </c>
      <c r="O137" s="3">
        <v>60</v>
      </c>
      <c r="P137" s="3">
        <f>N137-25</f>
        <v>26</v>
      </c>
      <c r="Q137" s="3">
        <f>O137-25</f>
        <v>35</v>
      </c>
    </row>
    <row r="138" spans="2:17" x14ac:dyDescent="0.25">
      <c r="C138" s="88"/>
      <c r="D138" s="88"/>
      <c r="E138" s="88"/>
      <c r="F138" s="88"/>
      <c r="G138" s="88"/>
      <c r="H138" s="88"/>
      <c r="I138" s="20" t="s">
        <v>47</v>
      </c>
      <c r="J138" s="13">
        <f>IFERROR(VLOOKUP(B137,TABLA1!$B$14:$BF$1596,26,FALSE),)</f>
        <v>0</v>
      </c>
      <c r="K138" s="13">
        <f>IFERROR(VLOOKUP(B137,TABLA1!$B$14:$BF$1596,38,FALSE),)</f>
        <v>0</v>
      </c>
      <c r="L138" s="13" t="str">
        <f>IFERROR(VLOOKUP(B138,TABLA1!$B$14:$BF$1596,26,FALSE),"-")</f>
        <v>-</v>
      </c>
      <c r="M138" s="13" t="str">
        <f>IFERROR(VLOOKUP(B138,TABLA1!$B$14:$BF$1596,38,FALSE),"-")</f>
        <v>-</v>
      </c>
    </row>
    <row r="139" spans="2:17" x14ac:dyDescent="0.25">
      <c r="C139" s="88"/>
      <c r="D139" s="88"/>
      <c r="E139" s="88"/>
      <c r="F139" s="88"/>
      <c r="G139" s="88"/>
      <c r="H139" s="88"/>
      <c r="I139" s="20" t="s">
        <v>10</v>
      </c>
      <c r="J139" s="16">
        <f>IFERROR(VLOOKUP(B137,TABLA1!$B$14:$BF$1596,28,FALSE),)</f>
        <v>0</v>
      </c>
      <c r="K139" s="16">
        <f>IFERROR(VLOOKUP(B137,TABLA1!$B$14:$BF$1596,40,FALSE),)</f>
        <v>0</v>
      </c>
      <c r="L139" s="13" t="str">
        <f>IFERROR(VLOOKUP(B138,TABLA1!$B$14:$BF$1596,28,FALSE),"-")</f>
        <v>-</v>
      </c>
      <c r="M139" s="13" t="str">
        <f>IFERROR(VLOOKUP(B138,TABLA1!$B$14:$BF$1596,40,FALSE),"-")</f>
        <v>-</v>
      </c>
    </row>
    <row r="140" spans="2:17" x14ac:dyDescent="0.25">
      <c r="C140" s="88"/>
      <c r="D140" s="88"/>
      <c r="E140" s="88"/>
      <c r="F140" s="88"/>
      <c r="G140" s="88"/>
      <c r="H140" s="88"/>
      <c r="I140" s="20" t="s">
        <v>11</v>
      </c>
      <c r="J140" s="13">
        <f>IFERROR(VLOOKUP(B137,TABLA1!$B$14:$BF$1596,29,FALSE),)</f>
        <v>0</v>
      </c>
      <c r="K140" s="13">
        <f>IFERROR(VLOOKUP(B137,TABLA1!$B$14:$BF$1596,41,FALSE),)</f>
        <v>0</v>
      </c>
      <c r="L140" s="13" t="str">
        <f>IFERROR(VLOOKUP(B138,TABLA1!$B$14:$BF$1596,29,FALSE),"-")</f>
        <v>-</v>
      </c>
      <c r="M140" s="13" t="str">
        <f>IFERROR(VLOOKUP(B138,TABLA1!$B$14:$BF$1596,41,FALSE),"-")</f>
        <v>-</v>
      </c>
    </row>
    <row r="141" spans="2:17" x14ac:dyDescent="0.25">
      <c r="C141" s="88"/>
      <c r="D141" s="88"/>
      <c r="E141" s="88"/>
      <c r="F141" s="88"/>
      <c r="G141" s="88"/>
      <c r="H141" s="88"/>
      <c r="I141" s="20" t="s">
        <v>48</v>
      </c>
      <c r="J141" s="16">
        <f>IFERROR(VLOOKUP(B137,TABLA1!$B$14:$BF$1596,31,FALSE),)</f>
        <v>0</v>
      </c>
      <c r="K141" s="16">
        <f>IFERROR(VLOOKUP(B137,TABLA1!$B$14:$BF$1596,43,FALSE),)</f>
        <v>0</v>
      </c>
      <c r="L141" s="13" t="str">
        <f>IFERROR(VLOOKUP(B138,TABLA1!$B$14:$BF$1596,31,FALSE),"-")</f>
        <v>-</v>
      </c>
      <c r="M141" s="13" t="str">
        <f>IFERROR(VLOOKUP(B138,TABLA1!$B$14:$BF$1596,43,FALSE),"-")</f>
        <v>-</v>
      </c>
      <c r="N141" s="3">
        <v>52</v>
      </c>
      <c r="O141" s="3">
        <v>61</v>
      </c>
      <c r="P141" s="3">
        <f t="shared" ref="P141:P146" si="22">N141-25</f>
        <v>27</v>
      </c>
      <c r="Q141" s="3">
        <f t="shared" ref="Q141:Q146" si="23">O141-25</f>
        <v>36</v>
      </c>
    </row>
    <row r="142" spans="2:17" x14ac:dyDescent="0.25">
      <c r="C142" s="88"/>
      <c r="D142" s="88"/>
      <c r="E142" s="88"/>
      <c r="F142" s="88"/>
      <c r="G142" s="88"/>
      <c r="H142" s="88"/>
      <c r="I142" s="20" t="s">
        <v>49</v>
      </c>
      <c r="J142" s="16">
        <f>IFERROR(VLOOKUP(B137,TABLA1!$B$14:$BF$1596,30,FALSE),)</f>
        <v>0</v>
      </c>
      <c r="K142" s="16">
        <f>IFERROR(VLOOKUP(B137,TABLA1!$B$14:$BF$1596,42,FALSE),)</f>
        <v>0</v>
      </c>
      <c r="L142" s="13" t="str">
        <f>IFERROR(VLOOKUP(B138,TABLA1!$B$14:$BF$1596,30,FALSE),"-")</f>
        <v>-</v>
      </c>
      <c r="M142" s="13" t="str">
        <f>IFERROR(VLOOKUP(B138,TABLA1!$B$14:$BF$1596,42,FALSE),"-")</f>
        <v>-</v>
      </c>
      <c r="N142" s="3">
        <v>53</v>
      </c>
      <c r="O142" s="3">
        <v>62</v>
      </c>
      <c r="P142" s="3">
        <f t="shared" si="22"/>
        <v>28</v>
      </c>
      <c r="Q142" s="3">
        <f t="shared" si="23"/>
        <v>37</v>
      </c>
    </row>
    <row r="143" spans="2:17" x14ac:dyDescent="0.25">
      <c r="C143" s="88"/>
      <c r="D143" s="88"/>
      <c r="E143" s="88"/>
      <c r="F143" s="88"/>
      <c r="G143" s="88"/>
      <c r="H143" s="88"/>
      <c r="I143" s="20" t="s">
        <v>33</v>
      </c>
      <c r="J143" s="16">
        <f>IFERROR(VLOOKUP(B137,TABLA1!$B$14:$BF$1596,32,FALSE),)</f>
        <v>0</v>
      </c>
      <c r="K143" s="16">
        <f>IFERROR(VLOOKUP(B137,TABLA1!$B$14:$BF$1596,44,FALSE),)</f>
        <v>0</v>
      </c>
      <c r="L143" s="13" t="str">
        <f>IFERROR(VLOOKUP(B138,TABLA1!$B$14:$BF$1596,32,FALSE),"-")</f>
        <v>-</v>
      </c>
      <c r="M143" s="13" t="str">
        <f>IFERROR(VLOOKUP(B138,TABLA1!$B$14:$BF$1596,44,FALSE),"-")</f>
        <v>-</v>
      </c>
      <c r="N143" s="3">
        <v>54</v>
      </c>
      <c r="O143" s="3">
        <v>63</v>
      </c>
      <c r="P143" s="3">
        <f t="shared" si="22"/>
        <v>29</v>
      </c>
      <c r="Q143" s="3">
        <f t="shared" si="23"/>
        <v>38</v>
      </c>
    </row>
    <row r="144" spans="2:17" x14ac:dyDescent="0.25">
      <c r="C144" s="88"/>
      <c r="D144" s="88"/>
      <c r="E144" s="88"/>
      <c r="F144" s="88"/>
      <c r="G144" s="88"/>
      <c r="H144" s="88"/>
      <c r="I144" s="20" t="s">
        <v>50</v>
      </c>
      <c r="J144" s="16">
        <f>IFERROR(VLOOKUP(B137,TABLA1!$B$14:$BF$1596,35,FALSE),)</f>
        <v>0</v>
      </c>
      <c r="K144" s="16">
        <f>IFERROR(VLOOKUP(B137,TABLA1!$B$14:$BF$1596,47,FALSE),)</f>
        <v>0</v>
      </c>
      <c r="L144" s="13" t="str">
        <f>IFERROR(VLOOKUP(B138,TABLA1!$B$14:$BF$1596,35,FALSE),"-")</f>
        <v>-</v>
      </c>
      <c r="M144" s="13" t="str">
        <f>IFERROR(VLOOKUP(B138,TABLA1!$B$14:$BF$1596,47,FALSE),"-")</f>
        <v>-</v>
      </c>
      <c r="N144" s="3">
        <v>56</v>
      </c>
      <c r="O144" s="3">
        <v>65</v>
      </c>
      <c r="P144" s="3">
        <f t="shared" si="22"/>
        <v>31</v>
      </c>
      <c r="Q144" s="3">
        <f t="shared" si="23"/>
        <v>40</v>
      </c>
    </row>
    <row r="145" spans="2:17" x14ac:dyDescent="0.25">
      <c r="C145" s="88"/>
      <c r="D145" s="88"/>
      <c r="E145" s="88"/>
      <c r="F145" s="88"/>
      <c r="G145" s="88"/>
      <c r="H145" s="88"/>
      <c r="I145" s="20" t="s">
        <v>51</v>
      </c>
      <c r="J145" s="16">
        <f>IFERROR(VLOOKUP(B137,TABLA1!$B$14:$BF$1596,34,FALSE),)</f>
        <v>0</v>
      </c>
      <c r="K145" s="16">
        <f>IFERROR(VLOOKUP(B137,TABLA1!$B$14:$BF$1596,46,FALSE),)</f>
        <v>0</v>
      </c>
      <c r="L145" s="13" t="str">
        <f>IFERROR(VLOOKUP(B138,TABLA1!$B$14:$BF$1596,34,FALSE),"-")</f>
        <v>-</v>
      </c>
      <c r="M145" s="13" t="str">
        <f>IFERROR(VLOOKUP(B138,TABLA1!$B$14:$BF$1596,46,FALSE),"-")</f>
        <v>-</v>
      </c>
      <c r="N145" s="3">
        <v>57</v>
      </c>
      <c r="O145" s="3">
        <v>66</v>
      </c>
      <c r="P145" s="3">
        <f t="shared" si="22"/>
        <v>32</v>
      </c>
      <c r="Q145" s="3">
        <f t="shared" si="23"/>
        <v>41</v>
      </c>
    </row>
    <row r="146" spans="2:17" x14ac:dyDescent="0.25">
      <c r="C146" s="88"/>
      <c r="D146" s="88"/>
      <c r="E146" s="88"/>
      <c r="F146" s="88"/>
      <c r="G146" s="88"/>
      <c r="H146" s="88"/>
      <c r="I146" s="20" t="s">
        <v>34</v>
      </c>
      <c r="J146" s="16">
        <f>IFERROR(VLOOKUP(B137,TABLA1!$B$14:$BF$1596,36,FALSE),)</f>
        <v>0</v>
      </c>
      <c r="K146" s="16">
        <f>IFERROR(VLOOKUP(B137,TABLA1!$B$14:$BF$1596,48,FALSE),)</f>
        <v>0</v>
      </c>
      <c r="L146" s="13" t="str">
        <f>IFERROR(VLOOKUP(B138,TABLA1!$B$14:$BF$1596,36,FALSE),"-")</f>
        <v>-</v>
      </c>
      <c r="M146" s="13" t="str">
        <f>IFERROR(VLOOKUP(B138,TABLA1!$B$14:$BF$1596,48,FALSE),"-")</f>
        <v>-</v>
      </c>
      <c r="N146" s="3">
        <v>59</v>
      </c>
      <c r="O146" s="3">
        <v>68</v>
      </c>
      <c r="P146" s="3">
        <f t="shared" si="22"/>
        <v>34</v>
      </c>
      <c r="Q146" s="3">
        <f t="shared" si="23"/>
        <v>43</v>
      </c>
    </row>
    <row r="147" spans="2:17" x14ac:dyDescent="0.25">
      <c r="C147" s="88"/>
      <c r="D147" s="88"/>
      <c r="E147" s="88"/>
      <c r="F147" s="88"/>
      <c r="G147" s="88"/>
      <c r="H147" s="88"/>
      <c r="I147" s="20" t="s">
        <v>35</v>
      </c>
      <c r="J147" s="16"/>
      <c r="K147" s="16"/>
      <c r="L147" s="13"/>
      <c r="M147" s="13"/>
    </row>
    <row r="148" spans="2:17" x14ac:dyDescent="0.25">
      <c r="C148" s="88"/>
      <c r="D148" s="88"/>
      <c r="E148" s="88"/>
      <c r="F148" s="88"/>
      <c r="G148" s="88"/>
      <c r="H148" s="88"/>
      <c r="I148" s="20" t="s">
        <v>36</v>
      </c>
      <c r="J148" s="13"/>
      <c r="K148" s="13"/>
      <c r="L148" s="13"/>
      <c r="M148" s="13"/>
    </row>
    <row r="149" spans="2:17" x14ac:dyDescent="0.25">
      <c r="B149" s="3">
        <f>TABLA1!B23</f>
        <v>0</v>
      </c>
      <c r="C149" s="88" t="e">
        <f>VLOOKUP(B149,TABLA1!$B$14:$BF$1596,2,FALSE)</f>
        <v>#N/A</v>
      </c>
      <c r="D149" s="88" t="e">
        <f>VLOOKUP(B149,TABLA1!$B$14:$BF$1596,3,FALSE)</f>
        <v>#N/A</v>
      </c>
      <c r="E149" s="88" t="e">
        <f>VLOOKUP(B149,TABLA1!$B$14:$BF$1596,4,FALSE)&amp;"/"&amp;VLOOKUP(B149,TABLA1!$B$14:$BF$1596,5,FALSE)</f>
        <v>#N/A</v>
      </c>
      <c r="F149" s="88" t="e">
        <f>VLOOKUP(B149,TABLA1!$B$14:$BF$1596,7,FALSE)</f>
        <v>#N/A</v>
      </c>
      <c r="G149" s="88"/>
      <c r="H149" s="88"/>
      <c r="I149" s="20" t="s">
        <v>46</v>
      </c>
      <c r="J149" s="16" t="str">
        <f>IFERROR(VLOOKUP(B149,TABLA1!$B$14:$BF$1596,27,FALSE),"")</f>
        <v/>
      </c>
      <c r="K149" s="16">
        <f>IFERROR(VLOOKUP(B149,TABLA1!$B$14:$BF$1596,39,FALSE),)</f>
        <v>0</v>
      </c>
      <c r="L149" s="13" t="str">
        <f>IFERROR(VLOOKUP(B150,TABLA1!$B$14:$BF$1596,27,FALSE),"-")</f>
        <v>-</v>
      </c>
      <c r="M149" s="13" t="str">
        <f>IFERROR(VLOOKUP(B150,TABLA1!$B$14:$BF$1596,39,FALSE),"-")</f>
        <v>-</v>
      </c>
      <c r="N149" s="3">
        <v>51</v>
      </c>
      <c r="O149" s="3">
        <v>60</v>
      </c>
      <c r="P149" s="3">
        <f>N149-25</f>
        <v>26</v>
      </c>
      <c r="Q149" s="3">
        <f>O149-25</f>
        <v>35</v>
      </c>
    </row>
    <row r="150" spans="2:17" x14ac:dyDescent="0.25">
      <c r="C150" s="88"/>
      <c r="D150" s="88"/>
      <c r="E150" s="88"/>
      <c r="F150" s="88"/>
      <c r="G150" s="88"/>
      <c r="H150" s="88"/>
      <c r="I150" s="20" t="s">
        <v>47</v>
      </c>
      <c r="J150" s="13">
        <f>IFERROR(VLOOKUP(B149,TABLA1!$B$14:$BF$1596,26,FALSE),)</f>
        <v>0</v>
      </c>
      <c r="K150" s="13">
        <f>IFERROR(VLOOKUP(B149,TABLA1!$B$14:$BF$1596,38,FALSE),)</f>
        <v>0</v>
      </c>
      <c r="L150" s="13" t="str">
        <f>IFERROR(VLOOKUP(B150,TABLA1!$B$14:$BF$1596,26,FALSE),"-")</f>
        <v>-</v>
      </c>
      <c r="M150" s="13" t="str">
        <f>IFERROR(VLOOKUP(B150,TABLA1!$B$14:$BF$1596,38,FALSE),"-")</f>
        <v>-</v>
      </c>
    </row>
    <row r="151" spans="2:17" x14ac:dyDescent="0.25">
      <c r="C151" s="88"/>
      <c r="D151" s="88"/>
      <c r="E151" s="88"/>
      <c r="F151" s="88"/>
      <c r="G151" s="88"/>
      <c r="H151" s="88"/>
      <c r="I151" s="20" t="s">
        <v>10</v>
      </c>
      <c r="J151" s="16">
        <f>IFERROR(VLOOKUP(B149,TABLA1!$B$14:$BF$1596,28,FALSE),)</f>
        <v>0</v>
      </c>
      <c r="K151" s="16">
        <f>IFERROR(VLOOKUP(B149,TABLA1!$B$14:$BF$1596,40,FALSE),)</f>
        <v>0</v>
      </c>
      <c r="L151" s="13" t="str">
        <f>IFERROR(VLOOKUP(B150,TABLA1!$B$14:$BF$1596,28,FALSE),"-")</f>
        <v>-</v>
      </c>
      <c r="M151" s="13" t="str">
        <f>IFERROR(VLOOKUP(B150,TABLA1!$B$14:$BF$1596,40,FALSE),"-")</f>
        <v>-</v>
      </c>
    </row>
    <row r="152" spans="2:17" x14ac:dyDescent="0.25">
      <c r="C152" s="88"/>
      <c r="D152" s="88"/>
      <c r="E152" s="88"/>
      <c r="F152" s="88"/>
      <c r="G152" s="88"/>
      <c r="H152" s="88"/>
      <c r="I152" s="20" t="s">
        <v>11</v>
      </c>
      <c r="J152" s="13">
        <f>IFERROR(VLOOKUP(B149,TABLA1!$B$14:$BF$1596,29,FALSE),)</f>
        <v>0</v>
      </c>
      <c r="K152" s="13">
        <f>IFERROR(VLOOKUP(B149,TABLA1!$B$14:$BF$1596,41,FALSE),)</f>
        <v>0</v>
      </c>
      <c r="L152" s="13" t="str">
        <f>IFERROR(VLOOKUP(B150,TABLA1!$B$14:$BF$1596,29,FALSE),"-")</f>
        <v>-</v>
      </c>
      <c r="M152" s="13" t="str">
        <f>IFERROR(VLOOKUP(B150,TABLA1!$B$14:$BF$1596,41,FALSE),"-")</f>
        <v>-</v>
      </c>
    </row>
    <row r="153" spans="2:17" x14ac:dyDescent="0.25">
      <c r="C153" s="88"/>
      <c r="D153" s="88"/>
      <c r="E153" s="88"/>
      <c r="F153" s="88"/>
      <c r="G153" s="88"/>
      <c r="H153" s="88"/>
      <c r="I153" s="20" t="s">
        <v>48</v>
      </c>
      <c r="J153" s="16">
        <f>IFERROR(VLOOKUP(B149,TABLA1!$B$14:$BF$1596,31,FALSE),)</f>
        <v>0</v>
      </c>
      <c r="K153" s="16">
        <f>IFERROR(VLOOKUP(B149,TABLA1!$B$14:$BF$1596,43,FALSE),)</f>
        <v>0</v>
      </c>
      <c r="L153" s="13" t="str">
        <f>IFERROR(VLOOKUP(B150,TABLA1!$B$14:$BF$1596,31,FALSE),"-")</f>
        <v>-</v>
      </c>
      <c r="M153" s="13" t="str">
        <f>IFERROR(VLOOKUP(B150,TABLA1!$B$14:$BF$1596,43,FALSE),"-")</f>
        <v>-</v>
      </c>
      <c r="N153" s="3">
        <v>52</v>
      </c>
      <c r="O153" s="3">
        <v>61</v>
      </c>
      <c r="P153" s="3">
        <f t="shared" ref="P153:P158" si="24">N153-25</f>
        <v>27</v>
      </c>
      <c r="Q153" s="3">
        <f t="shared" ref="Q153:Q158" si="25">O153-25</f>
        <v>36</v>
      </c>
    </row>
    <row r="154" spans="2:17" x14ac:dyDescent="0.25">
      <c r="C154" s="88"/>
      <c r="D154" s="88"/>
      <c r="E154" s="88"/>
      <c r="F154" s="88"/>
      <c r="G154" s="88"/>
      <c r="H154" s="88"/>
      <c r="I154" s="20" t="s">
        <v>49</v>
      </c>
      <c r="J154" s="16">
        <f>IFERROR(VLOOKUP(B149,TABLA1!$B$14:$BF$1596,30,FALSE),)</f>
        <v>0</v>
      </c>
      <c r="K154" s="16">
        <f>IFERROR(VLOOKUP(B149,TABLA1!$B$14:$BF$1596,42,FALSE),)</f>
        <v>0</v>
      </c>
      <c r="L154" s="13" t="str">
        <f>IFERROR(VLOOKUP(B150,TABLA1!$B$14:$BF$1596,30,FALSE),"-")</f>
        <v>-</v>
      </c>
      <c r="M154" s="13" t="str">
        <f>IFERROR(VLOOKUP(B150,TABLA1!$B$14:$BF$1596,42,FALSE),"-")</f>
        <v>-</v>
      </c>
      <c r="N154" s="3">
        <v>53</v>
      </c>
      <c r="O154" s="3">
        <v>62</v>
      </c>
      <c r="P154" s="3">
        <f t="shared" si="24"/>
        <v>28</v>
      </c>
      <c r="Q154" s="3">
        <f t="shared" si="25"/>
        <v>37</v>
      </c>
    </row>
    <row r="155" spans="2:17" x14ac:dyDescent="0.25">
      <c r="C155" s="88"/>
      <c r="D155" s="88"/>
      <c r="E155" s="88"/>
      <c r="F155" s="88"/>
      <c r="G155" s="88"/>
      <c r="H155" s="88"/>
      <c r="I155" s="20" t="s">
        <v>33</v>
      </c>
      <c r="J155" s="16">
        <f>IFERROR(VLOOKUP(B149,TABLA1!$B$14:$BF$1596,32,FALSE),)</f>
        <v>0</v>
      </c>
      <c r="K155" s="16">
        <f>IFERROR(VLOOKUP(B149,TABLA1!$B$14:$BF$1596,44,FALSE),)</f>
        <v>0</v>
      </c>
      <c r="L155" s="13" t="str">
        <f>IFERROR(VLOOKUP(B150,TABLA1!$B$14:$BF$1596,32,FALSE),"-")</f>
        <v>-</v>
      </c>
      <c r="M155" s="13" t="str">
        <f>IFERROR(VLOOKUP(B150,TABLA1!$B$14:$BF$1596,44,FALSE),"-")</f>
        <v>-</v>
      </c>
      <c r="N155" s="3">
        <v>54</v>
      </c>
      <c r="O155" s="3">
        <v>63</v>
      </c>
      <c r="P155" s="3">
        <f t="shared" si="24"/>
        <v>29</v>
      </c>
      <c r="Q155" s="3">
        <f t="shared" si="25"/>
        <v>38</v>
      </c>
    </row>
    <row r="156" spans="2:17" x14ac:dyDescent="0.25">
      <c r="C156" s="88"/>
      <c r="D156" s="88"/>
      <c r="E156" s="88"/>
      <c r="F156" s="88"/>
      <c r="G156" s="88"/>
      <c r="H156" s="88"/>
      <c r="I156" s="20" t="s">
        <v>50</v>
      </c>
      <c r="J156" s="16">
        <f>IFERROR(VLOOKUP(B149,TABLA1!$B$14:$BF$1596,35,FALSE),)</f>
        <v>0</v>
      </c>
      <c r="K156" s="16">
        <f>IFERROR(VLOOKUP(B149,TABLA1!$B$14:$BF$1596,47,FALSE),)</f>
        <v>0</v>
      </c>
      <c r="L156" s="13" t="str">
        <f>IFERROR(VLOOKUP(B150,TABLA1!$B$14:$BF$1596,35,FALSE),"-")</f>
        <v>-</v>
      </c>
      <c r="M156" s="13" t="str">
        <f>IFERROR(VLOOKUP(B150,TABLA1!$B$14:$BF$1596,47,FALSE),"-")</f>
        <v>-</v>
      </c>
      <c r="N156" s="3">
        <v>56</v>
      </c>
      <c r="O156" s="3">
        <v>65</v>
      </c>
      <c r="P156" s="3">
        <f t="shared" si="24"/>
        <v>31</v>
      </c>
      <c r="Q156" s="3">
        <f t="shared" si="25"/>
        <v>40</v>
      </c>
    </row>
    <row r="157" spans="2:17" x14ac:dyDescent="0.25">
      <c r="C157" s="88"/>
      <c r="D157" s="88"/>
      <c r="E157" s="88"/>
      <c r="F157" s="88"/>
      <c r="G157" s="88"/>
      <c r="H157" s="88"/>
      <c r="I157" s="20" t="s">
        <v>51</v>
      </c>
      <c r="J157" s="16">
        <f>IFERROR(VLOOKUP(B149,TABLA1!$B$14:$BF$1596,34,FALSE),)</f>
        <v>0</v>
      </c>
      <c r="K157" s="16">
        <f>IFERROR(VLOOKUP(B149,TABLA1!$B$14:$BF$1596,46,FALSE),)</f>
        <v>0</v>
      </c>
      <c r="L157" s="13" t="str">
        <f>IFERROR(VLOOKUP(B150,TABLA1!$B$14:$BF$1596,34,FALSE),"-")</f>
        <v>-</v>
      </c>
      <c r="M157" s="13" t="str">
        <f>IFERROR(VLOOKUP(B150,TABLA1!$B$14:$BF$1596,46,FALSE),"-")</f>
        <v>-</v>
      </c>
      <c r="N157" s="3">
        <v>57</v>
      </c>
      <c r="O157" s="3">
        <v>66</v>
      </c>
      <c r="P157" s="3">
        <f t="shared" si="24"/>
        <v>32</v>
      </c>
      <c r="Q157" s="3">
        <f t="shared" si="25"/>
        <v>41</v>
      </c>
    </row>
    <row r="158" spans="2:17" x14ac:dyDescent="0.25">
      <c r="C158" s="88"/>
      <c r="D158" s="88"/>
      <c r="E158" s="88"/>
      <c r="F158" s="88"/>
      <c r="G158" s="88"/>
      <c r="H158" s="88"/>
      <c r="I158" s="20" t="s">
        <v>34</v>
      </c>
      <c r="J158" s="16">
        <f>IFERROR(VLOOKUP(B149,TABLA1!$B$14:$BF$1596,36,FALSE),)</f>
        <v>0</v>
      </c>
      <c r="K158" s="16">
        <f>IFERROR(VLOOKUP(B149,TABLA1!$B$14:$BF$1596,48,FALSE),)</f>
        <v>0</v>
      </c>
      <c r="L158" s="13" t="str">
        <f>IFERROR(VLOOKUP(B150,TABLA1!$B$14:$BF$1596,36,FALSE),"-")</f>
        <v>-</v>
      </c>
      <c r="M158" s="13" t="str">
        <f>IFERROR(VLOOKUP(B150,TABLA1!$B$14:$BF$1596,48,FALSE),"-")</f>
        <v>-</v>
      </c>
      <c r="N158" s="3">
        <v>59</v>
      </c>
      <c r="O158" s="3">
        <v>68</v>
      </c>
      <c r="P158" s="3">
        <f t="shared" si="24"/>
        <v>34</v>
      </c>
      <c r="Q158" s="3">
        <f t="shared" si="25"/>
        <v>43</v>
      </c>
    </row>
    <row r="159" spans="2:17" x14ac:dyDescent="0.25">
      <c r="C159" s="88"/>
      <c r="D159" s="88"/>
      <c r="E159" s="88"/>
      <c r="F159" s="88"/>
      <c r="G159" s="88"/>
      <c r="H159" s="88"/>
      <c r="I159" s="20" t="s">
        <v>35</v>
      </c>
      <c r="J159" s="16"/>
      <c r="K159" s="16"/>
      <c r="L159" s="13"/>
      <c r="M159" s="13"/>
    </row>
    <row r="160" spans="2:17" x14ac:dyDescent="0.25">
      <c r="C160" s="88"/>
      <c r="D160" s="88"/>
      <c r="E160" s="88"/>
      <c r="F160" s="88"/>
      <c r="G160" s="88"/>
      <c r="H160" s="88"/>
      <c r="I160" s="20" t="s">
        <v>36</v>
      </c>
      <c r="J160" s="13"/>
      <c r="K160" s="13"/>
      <c r="L160" s="13"/>
      <c r="M160" s="13"/>
    </row>
    <row r="161" spans="2:17" x14ac:dyDescent="0.25">
      <c r="B161" s="3">
        <f>TABLA1!B24</f>
        <v>0</v>
      </c>
      <c r="C161" s="88" t="e">
        <f>VLOOKUP(B161,TABLA1!$B$14:$BF$1596,2,FALSE)</f>
        <v>#N/A</v>
      </c>
      <c r="D161" s="88" t="e">
        <f>VLOOKUP(B161,TABLA1!$B$14:$BF$1596,3,FALSE)</f>
        <v>#N/A</v>
      </c>
      <c r="E161" s="88" t="e">
        <f>VLOOKUP(B161,TABLA1!$B$14:$BF$1596,4,FALSE)&amp;"/"&amp;VLOOKUP(B161,TABLA1!$B$14:$BF$1596,5,FALSE)</f>
        <v>#N/A</v>
      </c>
      <c r="F161" s="88" t="e">
        <f>VLOOKUP(B161,TABLA1!$B$14:$BF$1596,7,FALSE)</f>
        <v>#N/A</v>
      </c>
      <c r="G161" s="88"/>
      <c r="H161" s="88"/>
      <c r="I161" s="20" t="s">
        <v>46</v>
      </c>
      <c r="J161" s="16" t="str">
        <f>IFERROR(VLOOKUP(B161,TABLA1!$B$14:$BF$1596,27,FALSE),"")</f>
        <v/>
      </c>
      <c r="K161" s="16">
        <f>IFERROR(VLOOKUP(B161,TABLA1!$B$14:$BF$1596,39,FALSE),)</f>
        <v>0</v>
      </c>
      <c r="L161" s="13" t="str">
        <f>IFERROR(VLOOKUP(B162,TABLA1!$B$14:$BF$1596,27,FALSE),"-")</f>
        <v>-</v>
      </c>
      <c r="M161" s="13" t="str">
        <f>IFERROR(VLOOKUP(B162,TABLA1!$B$14:$BF$1596,39,FALSE),"-")</f>
        <v>-</v>
      </c>
      <c r="N161" s="3">
        <v>51</v>
      </c>
      <c r="O161" s="3">
        <v>60</v>
      </c>
      <c r="P161" s="3">
        <f>N161-25</f>
        <v>26</v>
      </c>
      <c r="Q161" s="3">
        <f>O161-25</f>
        <v>35</v>
      </c>
    </row>
    <row r="162" spans="2:17" x14ac:dyDescent="0.25">
      <c r="C162" s="88"/>
      <c r="D162" s="88"/>
      <c r="E162" s="88"/>
      <c r="F162" s="88"/>
      <c r="G162" s="88"/>
      <c r="H162" s="88"/>
      <c r="I162" s="20" t="s">
        <v>47</v>
      </c>
      <c r="J162" s="13">
        <f>IFERROR(VLOOKUP(B161,TABLA1!$B$14:$BF$1596,26,FALSE),)</f>
        <v>0</v>
      </c>
      <c r="K162" s="13">
        <f>IFERROR(VLOOKUP(B161,TABLA1!$B$14:$BF$1596,38,FALSE),)</f>
        <v>0</v>
      </c>
      <c r="L162" s="13" t="str">
        <f>IFERROR(VLOOKUP(B162,TABLA1!$B$14:$BF$1596,26,FALSE),"-")</f>
        <v>-</v>
      </c>
      <c r="M162" s="13" t="str">
        <f>IFERROR(VLOOKUP(B162,TABLA1!$B$14:$BF$1596,38,FALSE),"-")</f>
        <v>-</v>
      </c>
    </row>
    <row r="163" spans="2:17" x14ac:dyDescent="0.25">
      <c r="C163" s="88"/>
      <c r="D163" s="88"/>
      <c r="E163" s="88"/>
      <c r="F163" s="88"/>
      <c r="G163" s="88"/>
      <c r="H163" s="88"/>
      <c r="I163" s="20" t="s">
        <v>10</v>
      </c>
      <c r="J163" s="16">
        <f>IFERROR(VLOOKUP(B161,TABLA1!$B$14:$BF$1596,28,FALSE),)</f>
        <v>0</v>
      </c>
      <c r="K163" s="16">
        <f>IFERROR(VLOOKUP(B161,TABLA1!$B$14:$BF$1596,40,FALSE),)</f>
        <v>0</v>
      </c>
      <c r="L163" s="13" t="str">
        <f>IFERROR(VLOOKUP(B162,TABLA1!$B$14:$BF$1596,28,FALSE),"-")</f>
        <v>-</v>
      </c>
      <c r="M163" s="13" t="str">
        <f>IFERROR(VLOOKUP(B162,TABLA1!$B$14:$BF$1596,40,FALSE),"-")</f>
        <v>-</v>
      </c>
    </row>
    <row r="164" spans="2:17" x14ac:dyDescent="0.25">
      <c r="C164" s="88"/>
      <c r="D164" s="88"/>
      <c r="E164" s="88"/>
      <c r="F164" s="88"/>
      <c r="G164" s="88"/>
      <c r="H164" s="88"/>
      <c r="I164" s="20" t="s">
        <v>11</v>
      </c>
      <c r="J164" s="13">
        <f>IFERROR(VLOOKUP(B161,TABLA1!$B$14:$BF$1596,29,FALSE),)</f>
        <v>0</v>
      </c>
      <c r="K164" s="13">
        <f>IFERROR(VLOOKUP(B161,TABLA1!$B$14:$BF$1596,41,FALSE),)</f>
        <v>0</v>
      </c>
      <c r="L164" s="13" t="str">
        <f>IFERROR(VLOOKUP(B162,TABLA1!$B$14:$BF$1596,29,FALSE),"-")</f>
        <v>-</v>
      </c>
      <c r="M164" s="13" t="str">
        <f>IFERROR(VLOOKUP(B162,TABLA1!$B$14:$BF$1596,41,FALSE),"-")</f>
        <v>-</v>
      </c>
    </row>
    <row r="165" spans="2:17" x14ac:dyDescent="0.25">
      <c r="C165" s="88"/>
      <c r="D165" s="88"/>
      <c r="E165" s="88"/>
      <c r="F165" s="88"/>
      <c r="G165" s="88"/>
      <c r="H165" s="88"/>
      <c r="I165" s="20" t="s">
        <v>48</v>
      </c>
      <c r="J165" s="16">
        <f>IFERROR(VLOOKUP(B161,TABLA1!$B$14:$BF$1596,31,FALSE),)</f>
        <v>0</v>
      </c>
      <c r="K165" s="16">
        <f>IFERROR(VLOOKUP(B161,TABLA1!$B$14:$BF$1596,43,FALSE),)</f>
        <v>0</v>
      </c>
      <c r="L165" s="13" t="str">
        <f>IFERROR(VLOOKUP(B162,TABLA1!$B$14:$BF$1596,31,FALSE),"-")</f>
        <v>-</v>
      </c>
      <c r="M165" s="13" t="str">
        <f>IFERROR(VLOOKUP(B162,TABLA1!$B$14:$BF$1596,43,FALSE),"-")</f>
        <v>-</v>
      </c>
      <c r="N165" s="3">
        <v>52</v>
      </c>
      <c r="O165" s="3">
        <v>61</v>
      </c>
      <c r="P165" s="3">
        <f t="shared" ref="P165:P170" si="26">N165-25</f>
        <v>27</v>
      </c>
      <c r="Q165" s="3">
        <f t="shared" ref="Q165:Q170" si="27">O165-25</f>
        <v>36</v>
      </c>
    </row>
    <row r="166" spans="2:17" x14ac:dyDescent="0.25">
      <c r="C166" s="88"/>
      <c r="D166" s="88"/>
      <c r="E166" s="88"/>
      <c r="F166" s="88"/>
      <c r="G166" s="88"/>
      <c r="H166" s="88"/>
      <c r="I166" s="20" t="s">
        <v>49</v>
      </c>
      <c r="J166" s="16">
        <f>IFERROR(VLOOKUP(B161,TABLA1!$B$14:$BF$1596,30,FALSE),)</f>
        <v>0</v>
      </c>
      <c r="K166" s="16">
        <f>IFERROR(VLOOKUP(B161,TABLA1!$B$14:$BF$1596,42,FALSE),)</f>
        <v>0</v>
      </c>
      <c r="L166" s="13" t="str">
        <f>IFERROR(VLOOKUP(B162,TABLA1!$B$14:$BF$1596,30,FALSE),"-")</f>
        <v>-</v>
      </c>
      <c r="M166" s="13" t="str">
        <f>IFERROR(VLOOKUP(B162,TABLA1!$B$14:$BF$1596,42,FALSE),"-")</f>
        <v>-</v>
      </c>
      <c r="N166" s="3">
        <v>53</v>
      </c>
      <c r="O166" s="3">
        <v>62</v>
      </c>
      <c r="P166" s="3">
        <f t="shared" si="26"/>
        <v>28</v>
      </c>
      <c r="Q166" s="3">
        <f t="shared" si="27"/>
        <v>37</v>
      </c>
    </row>
    <row r="167" spans="2:17" x14ac:dyDescent="0.25">
      <c r="C167" s="88"/>
      <c r="D167" s="88"/>
      <c r="E167" s="88"/>
      <c r="F167" s="88"/>
      <c r="G167" s="88"/>
      <c r="H167" s="88"/>
      <c r="I167" s="20" t="s">
        <v>33</v>
      </c>
      <c r="J167" s="16">
        <f>IFERROR(VLOOKUP(B161,TABLA1!$B$14:$BF$1596,32,FALSE),)</f>
        <v>0</v>
      </c>
      <c r="K167" s="16">
        <f>IFERROR(VLOOKUP(B161,TABLA1!$B$14:$BF$1596,44,FALSE),)</f>
        <v>0</v>
      </c>
      <c r="L167" s="13" t="str">
        <f>IFERROR(VLOOKUP(B162,TABLA1!$B$14:$BF$1596,32,FALSE),"-")</f>
        <v>-</v>
      </c>
      <c r="M167" s="13" t="str">
        <f>IFERROR(VLOOKUP(B162,TABLA1!$B$14:$BF$1596,44,FALSE),"-")</f>
        <v>-</v>
      </c>
      <c r="N167" s="3">
        <v>54</v>
      </c>
      <c r="O167" s="3">
        <v>63</v>
      </c>
      <c r="P167" s="3">
        <f t="shared" si="26"/>
        <v>29</v>
      </c>
      <c r="Q167" s="3">
        <f t="shared" si="27"/>
        <v>38</v>
      </c>
    </row>
    <row r="168" spans="2:17" x14ac:dyDescent="0.25">
      <c r="C168" s="88"/>
      <c r="D168" s="88"/>
      <c r="E168" s="88"/>
      <c r="F168" s="88"/>
      <c r="G168" s="88"/>
      <c r="H168" s="88"/>
      <c r="I168" s="20" t="s">
        <v>50</v>
      </c>
      <c r="J168" s="16">
        <f>IFERROR(VLOOKUP(B161,TABLA1!$B$14:$BF$1596,35,FALSE),)</f>
        <v>0</v>
      </c>
      <c r="K168" s="16">
        <f>IFERROR(VLOOKUP(B161,TABLA1!$B$14:$BF$1596,47,FALSE),)</f>
        <v>0</v>
      </c>
      <c r="L168" s="13" t="str">
        <f>IFERROR(VLOOKUP(B162,TABLA1!$B$14:$BF$1596,35,FALSE),"-")</f>
        <v>-</v>
      </c>
      <c r="M168" s="13" t="str">
        <f>IFERROR(VLOOKUP(B162,TABLA1!$B$14:$BF$1596,47,FALSE),"-")</f>
        <v>-</v>
      </c>
      <c r="N168" s="3">
        <v>56</v>
      </c>
      <c r="O168" s="3">
        <v>65</v>
      </c>
      <c r="P168" s="3">
        <f t="shared" si="26"/>
        <v>31</v>
      </c>
      <c r="Q168" s="3">
        <f t="shared" si="27"/>
        <v>40</v>
      </c>
    </row>
    <row r="169" spans="2:17" x14ac:dyDescent="0.25">
      <c r="C169" s="88"/>
      <c r="D169" s="88"/>
      <c r="E169" s="88"/>
      <c r="F169" s="88"/>
      <c r="G169" s="88"/>
      <c r="H169" s="88"/>
      <c r="I169" s="20" t="s">
        <v>51</v>
      </c>
      <c r="J169" s="16">
        <f>IFERROR(VLOOKUP(B161,TABLA1!$B$14:$BF$1596,34,FALSE),)</f>
        <v>0</v>
      </c>
      <c r="K169" s="16">
        <f>IFERROR(VLOOKUP(B161,TABLA1!$B$14:$BF$1596,46,FALSE),)</f>
        <v>0</v>
      </c>
      <c r="L169" s="13" t="str">
        <f>IFERROR(VLOOKUP(B162,TABLA1!$B$14:$BF$1596,34,FALSE),"-")</f>
        <v>-</v>
      </c>
      <c r="M169" s="13" t="str">
        <f>IFERROR(VLOOKUP(B162,TABLA1!$B$14:$BF$1596,46,FALSE),"-")</f>
        <v>-</v>
      </c>
      <c r="N169" s="3">
        <v>57</v>
      </c>
      <c r="O169" s="3">
        <v>66</v>
      </c>
      <c r="P169" s="3">
        <f t="shared" si="26"/>
        <v>32</v>
      </c>
      <c r="Q169" s="3">
        <f t="shared" si="27"/>
        <v>41</v>
      </c>
    </row>
    <row r="170" spans="2:17" x14ac:dyDescent="0.25">
      <c r="C170" s="88"/>
      <c r="D170" s="88"/>
      <c r="E170" s="88"/>
      <c r="F170" s="88"/>
      <c r="G170" s="88"/>
      <c r="H170" s="88"/>
      <c r="I170" s="20" t="s">
        <v>34</v>
      </c>
      <c r="J170" s="16">
        <f>IFERROR(VLOOKUP(B161,TABLA1!$B$14:$BF$1596,36,FALSE),)</f>
        <v>0</v>
      </c>
      <c r="K170" s="16">
        <f>IFERROR(VLOOKUP(B161,TABLA1!$B$14:$BF$1596,48,FALSE),)</f>
        <v>0</v>
      </c>
      <c r="L170" s="13" t="str">
        <f>IFERROR(VLOOKUP(B162,TABLA1!$B$14:$BF$1596,36,FALSE),"-")</f>
        <v>-</v>
      </c>
      <c r="M170" s="13" t="str">
        <f>IFERROR(VLOOKUP(B162,TABLA1!$B$14:$BF$1596,48,FALSE),"-")</f>
        <v>-</v>
      </c>
      <c r="N170" s="3">
        <v>59</v>
      </c>
      <c r="O170" s="3">
        <v>68</v>
      </c>
      <c r="P170" s="3">
        <f t="shared" si="26"/>
        <v>34</v>
      </c>
      <c r="Q170" s="3">
        <f t="shared" si="27"/>
        <v>43</v>
      </c>
    </row>
    <row r="171" spans="2:17" x14ac:dyDescent="0.25">
      <c r="C171" s="88"/>
      <c r="D171" s="88"/>
      <c r="E171" s="88"/>
      <c r="F171" s="88"/>
      <c r="G171" s="88"/>
      <c r="H171" s="88"/>
      <c r="I171" s="20" t="s">
        <v>35</v>
      </c>
      <c r="J171" s="16"/>
      <c r="K171" s="16"/>
      <c r="L171" s="13"/>
      <c r="M171" s="13"/>
    </row>
    <row r="172" spans="2:17" x14ac:dyDescent="0.25">
      <c r="C172" s="88"/>
      <c r="D172" s="88"/>
      <c r="E172" s="88"/>
      <c r="F172" s="88"/>
      <c r="G172" s="88"/>
      <c r="H172" s="88"/>
      <c r="I172" s="20" t="s">
        <v>36</v>
      </c>
      <c r="J172" s="13"/>
      <c r="K172" s="13"/>
      <c r="L172" s="13"/>
      <c r="M172" s="13"/>
    </row>
    <row r="173" spans="2:17" x14ac:dyDescent="0.25">
      <c r="B173" s="3">
        <f>TABLA1!B25</f>
        <v>0</v>
      </c>
      <c r="C173" s="88" t="e">
        <f>VLOOKUP(B173,TABLA1!$B$14:$BF$1596,2,FALSE)</f>
        <v>#N/A</v>
      </c>
      <c r="D173" s="88" t="e">
        <f>VLOOKUP(B173,TABLA1!$B$14:$BF$1596,3,FALSE)</f>
        <v>#N/A</v>
      </c>
      <c r="E173" s="88" t="e">
        <f>VLOOKUP(B173,TABLA1!$B$14:$BF$1596,4,FALSE)&amp;"/"&amp;VLOOKUP(B173,TABLA1!$B$14:$BF$1596,5,FALSE)</f>
        <v>#N/A</v>
      </c>
      <c r="F173" s="88" t="e">
        <f>VLOOKUP(B173,TABLA1!$B$14:$BF$1596,7,FALSE)</f>
        <v>#N/A</v>
      </c>
      <c r="G173" s="88"/>
      <c r="H173" s="88"/>
      <c r="I173" s="20" t="s">
        <v>46</v>
      </c>
      <c r="J173" s="16" t="str">
        <f>IFERROR(VLOOKUP(B173,TABLA1!$B$14:$BF$1596,27,FALSE),"")</f>
        <v/>
      </c>
      <c r="K173" s="16">
        <f>IFERROR(VLOOKUP(B173,TABLA1!$B$14:$BF$1596,39,FALSE),)</f>
        <v>0</v>
      </c>
      <c r="L173" s="13" t="str">
        <f>IFERROR(VLOOKUP(B174,TABLA1!$B$14:$BF$1596,27,FALSE),"-")</f>
        <v>-</v>
      </c>
      <c r="M173" s="13" t="str">
        <f>IFERROR(VLOOKUP(B174,TABLA1!$B$14:$BF$1596,39,FALSE),"-")</f>
        <v>-</v>
      </c>
      <c r="N173" s="3">
        <v>51</v>
      </c>
      <c r="O173" s="3">
        <v>60</v>
      </c>
      <c r="P173" s="3">
        <f>N173-25</f>
        <v>26</v>
      </c>
      <c r="Q173" s="3">
        <f>O173-25</f>
        <v>35</v>
      </c>
    </row>
    <row r="174" spans="2:17" x14ac:dyDescent="0.25">
      <c r="C174" s="88"/>
      <c r="D174" s="88"/>
      <c r="E174" s="88"/>
      <c r="F174" s="88"/>
      <c r="G174" s="88"/>
      <c r="H174" s="88"/>
      <c r="I174" s="20" t="s">
        <v>47</v>
      </c>
      <c r="J174" s="13">
        <f>IFERROR(VLOOKUP(B173,TABLA1!$B$14:$BF$1596,26,FALSE),)</f>
        <v>0</v>
      </c>
      <c r="K174" s="13">
        <f>IFERROR(VLOOKUP(B173,TABLA1!$B$14:$BF$1596,38,FALSE),)</f>
        <v>0</v>
      </c>
      <c r="L174" s="13" t="str">
        <f>IFERROR(VLOOKUP(B174,TABLA1!$B$14:$BF$1596,26,FALSE),"-")</f>
        <v>-</v>
      </c>
      <c r="M174" s="13" t="str">
        <f>IFERROR(VLOOKUP(B174,TABLA1!$B$14:$BF$1596,38,FALSE),"-")</f>
        <v>-</v>
      </c>
    </row>
    <row r="175" spans="2:17" x14ac:dyDescent="0.25">
      <c r="C175" s="88"/>
      <c r="D175" s="88"/>
      <c r="E175" s="88"/>
      <c r="F175" s="88"/>
      <c r="G175" s="88"/>
      <c r="H175" s="88"/>
      <c r="I175" s="20" t="s">
        <v>10</v>
      </c>
      <c r="J175" s="16">
        <f>IFERROR(VLOOKUP(B173,TABLA1!$B$14:$BF$1596,28,FALSE),)</f>
        <v>0</v>
      </c>
      <c r="K175" s="16">
        <f>IFERROR(VLOOKUP(B173,TABLA1!$B$14:$BF$1596,40,FALSE),)</f>
        <v>0</v>
      </c>
      <c r="L175" s="13" t="str">
        <f>IFERROR(VLOOKUP(B174,TABLA1!$B$14:$BF$1596,28,FALSE),"-")</f>
        <v>-</v>
      </c>
      <c r="M175" s="13" t="str">
        <f>IFERROR(VLOOKUP(B174,TABLA1!$B$14:$BF$1596,40,FALSE),"-")</f>
        <v>-</v>
      </c>
    </row>
    <row r="176" spans="2:17" x14ac:dyDescent="0.25">
      <c r="C176" s="88"/>
      <c r="D176" s="88"/>
      <c r="E176" s="88"/>
      <c r="F176" s="88"/>
      <c r="G176" s="88"/>
      <c r="H176" s="88"/>
      <c r="I176" s="20" t="s">
        <v>11</v>
      </c>
      <c r="J176" s="13">
        <f>IFERROR(VLOOKUP(B173,TABLA1!$B$14:$BF$1596,29,FALSE),)</f>
        <v>0</v>
      </c>
      <c r="K176" s="13">
        <f>IFERROR(VLOOKUP(B173,TABLA1!$B$14:$BF$1596,41,FALSE),)</f>
        <v>0</v>
      </c>
      <c r="L176" s="13" t="str">
        <f>IFERROR(VLOOKUP(B174,TABLA1!$B$14:$BF$1596,29,FALSE),"-")</f>
        <v>-</v>
      </c>
      <c r="M176" s="13" t="str">
        <f>IFERROR(VLOOKUP(B174,TABLA1!$B$14:$BF$1596,41,FALSE),"-")</f>
        <v>-</v>
      </c>
    </row>
    <row r="177" spans="2:17" x14ac:dyDescent="0.25">
      <c r="C177" s="88"/>
      <c r="D177" s="88"/>
      <c r="E177" s="88"/>
      <c r="F177" s="88"/>
      <c r="G177" s="88"/>
      <c r="H177" s="88"/>
      <c r="I177" s="20" t="s">
        <v>48</v>
      </c>
      <c r="J177" s="16">
        <f>IFERROR(VLOOKUP(B173,TABLA1!$B$14:$BF$1596,31,FALSE),)</f>
        <v>0</v>
      </c>
      <c r="K177" s="16">
        <f>IFERROR(VLOOKUP(B173,TABLA1!$B$14:$BF$1596,43,FALSE),)</f>
        <v>0</v>
      </c>
      <c r="L177" s="13" t="str">
        <f>IFERROR(VLOOKUP(B174,TABLA1!$B$14:$BF$1596,31,FALSE),"-")</f>
        <v>-</v>
      </c>
      <c r="M177" s="13" t="str">
        <f>IFERROR(VLOOKUP(B174,TABLA1!$B$14:$BF$1596,43,FALSE),"-")</f>
        <v>-</v>
      </c>
      <c r="N177" s="3">
        <v>52</v>
      </c>
      <c r="O177" s="3">
        <v>61</v>
      </c>
      <c r="P177" s="3">
        <f t="shared" ref="P177:P182" si="28">N177-25</f>
        <v>27</v>
      </c>
      <c r="Q177" s="3">
        <f t="shared" ref="Q177:Q182" si="29">O177-25</f>
        <v>36</v>
      </c>
    </row>
    <row r="178" spans="2:17" x14ac:dyDescent="0.25">
      <c r="C178" s="88"/>
      <c r="D178" s="88"/>
      <c r="E178" s="88"/>
      <c r="F178" s="88"/>
      <c r="G178" s="88"/>
      <c r="H178" s="88"/>
      <c r="I178" s="20" t="s">
        <v>49</v>
      </c>
      <c r="J178" s="16">
        <f>IFERROR(VLOOKUP(B173,TABLA1!$B$14:$BF$1596,30,FALSE),)</f>
        <v>0</v>
      </c>
      <c r="K178" s="16">
        <f>IFERROR(VLOOKUP(B173,TABLA1!$B$14:$BF$1596,42,FALSE),)</f>
        <v>0</v>
      </c>
      <c r="L178" s="13" t="str">
        <f>IFERROR(VLOOKUP(B174,TABLA1!$B$14:$BF$1596,30,FALSE),"-")</f>
        <v>-</v>
      </c>
      <c r="M178" s="13" t="str">
        <f>IFERROR(VLOOKUP(B174,TABLA1!$B$14:$BF$1596,42,FALSE),"-")</f>
        <v>-</v>
      </c>
      <c r="N178" s="3">
        <v>53</v>
      </c>
      <c r="O178" s="3">
        <v>62</v>
      </c>
      <c r="P178" s="3">
        <f t="shared" si="28"/>
        <v>28</v>
      </c>
      <c r="Q178" s="3">
        <f t="shared" si="29"/>
        <v>37</v>
      </c>
    </row>
    <row r="179" spans="2:17" x14ac:dyDescent="0.25">
      <c r="C179" s="88"/>
      <c r="D179" s="88"/>
      <c r="E179" s="88"/>
      <c r="F179" s="88"/>
      <c r="G179" s="88"/>
      <c r="H179" s="88"/>
      <c r="I179" s="20" t="s">
        <v>33</v>
      </c>
      <c r="J179" s="16">
        <f>IFERROR(VLOOKUP(B173,TABLA1!$B$14:$BF$1596,32,FALSE),)</f>
        <v>0</v>
      </c>
      <c r="K179" s="16">
        <f>IFERROR(VLOOKUP(B173,TABLA1!$B$14:$BF$1596,44,FALSE),)</f>
        <v>0</v>
      </c>
      <c r="L179" s="13" t="str">
        <f>IFERROR(VLOOKUP(B174,TABLA1!$B$14:$BF$1596,32,FALSE),"-")</f>
        <v>-</v>
      </c>
      <c r="M179" s="13" t="str">
        <f>IFERROR(VLOOKUP(B174,TABLA1!$B$14:$BF$1596,44,FALSE),"-")</f>
        <v>-</v>
      </c>
      <c r="N179" s="3">
        <v>54</v>
      </c>
      <c r="O179" s="3">
        <v>63</v>
      </c>
      <c r="P179" s="3">
        <f t="shared" si="28"/>
        <v>29</v>
      </c>
      <c r="Q179" s="3">
        <f t="shared" si="29"/>
        <v>38</v>
      </c>
    </row>
    <row r="180" spans="2:17" x14ac:dyDescent="0.25">
      <c r="C180" s="88"/>
      <c r="D180" s="88"/>
      <c r="E180" s="88"/>
      <c r="F180" s="88"/>
      <c r="G180" s="88"/>
      <c r="H180" s="88"/>
      <c r="I180" s="20" t="s">
        <v>50</v>
      </c>
      <c r="J180" s="16">
        <f>IFERROR(VLOOKUP(B173,TABLA1!$B$14:$BF$1596,35,FALSE),)</f>
        <v>0</v>
      </c>
      <c r="K180" s="16">
        <f>IFERROR(VLOOKUP(B173,TABLA1!$B$14:$BF$1596,47,FALSE),)</f>
        <v>0</v>
      </c>
      <c r="L180" s="13" t="str">
        <f>IFERROR(VLOOKUP(B174,TABLA1!$B$14:$BF$1596,35,FALSE),"-")</f>
        <v>-</v>
      </c>
      <c r="M180" s="13" t="str">
        <f>IFERROR(VLOOKUP(B174,TABLA1!$B$14:$BF$1596,47,FALSE),"-")</f>
        <v>-</v>
      </c>
      <c r="N180" s="3">
        <v>56</v>
      </c>
      <c r="O180" s="3">
        <v>65</v>
      </c>
      <c r="P180" s="3">
        <f t="shared" si="28"/>
        <v>31</v>
      </c>
      <c r="Q180" s="3">
        <f t="shared" si="29"/>
        <v>40</v>
      </c>
    </row>
    <row r="181" spans="2:17" x14ac:dyDescent="0.25">
      <c r="C181" s="88"/>
      <c r="D181" s="88"/>
      <c r="E181" s="88"/>
      <c r="F181" s="88"/>
      <c r="G181" s="88"/>
      <c r="H181" s="88"/>
      <c r="I181" s="20" t="s">
        <v>51</v>
      </c>
      <c r="J181" s="16">
        <f>IFERROR(VLOOKUP(B173,TABLA1!$B$14:$BF$1596,34,FALSE),)</f>
        <v>0</v>
      </c>
      <c r="K181" s="16">
        <f>IFERROR(VLOOKUP(B173,TABLA1!$B$14:$BF$1596,46,FALSE),)</f>
        <v>0</v>
      </c>
      <c r="L181" s="13" t="str">
        <f>IFERROR(VLOOKUP(B174,TABLA1!$B$14:$BF$1596,34,FALSE),"-")</f>
        <v>-</v>
      </c>
      <c r="M181" s="13" t="str">
        <f>IFERROR(VLOOKUP(B174,TABLA1!$B$14:$BF$1596,46,FALSE),"-")</f>
        <v>-</v>
      </c>
      <c r="N181" s="3">
        <v>57</v>
      </c>
      <c r="O181" s="3">
        <v>66</v>
      </c>
      <c r="P181" s="3">
        <f t="shared" si="28"/>
        <v>32</v>
      </c>
      <c r="Q181" s="3">
        <f t="shared" si="29"/>
        <v>41</v>
      </c>
    </row>
    <row r="182" spans="2:17" x14ac:dyDescent="0.25">
      <c r="C182" s="88"/>
      <c r="D182" s="88"/>
      <c r="E182" s="88"/>
      <c r="F182" s="88"/>
      <c r="G182" s="88"/>
      <c r="H182" s="88"/>
      <c r="I182" s="20" t="s">
        <v>34</v>
      </c>
      <c r="J182" s="16">
        <f>IFERROR(VLOOKUP(B173,TABLA1!$B$14:$BF$1596,36,FALSE),)</f>
        <v>0</v>
      </c>
      <c r="K182" s="16">
        <f>IFERROR(VLOOKUP(B173,TABLA1!$B$14:$BF$1596,48,FALSE),)</f>
        <v>0</v>
      </c>
      <c r="L182" s="13" t="str">
        <f>IFERROR(VLOOKUP(B174,TABLA1!$B$14:$BF$1596,36,FALSE),"-")</f>
        <v>-</v>
      </c>
      <c r="M182" s="13" t="str">
        <f>IFERROR(VLOOKUP(B174,TABLA1!$B$14:$BF$1596,48,FALSE),"-")</f>
        <v>-</v>
      </c>
      <c r="N182" s="3">
        <v>59</v>
      </c>
      <c r="O182" s="3">
        <v>68</v>
      </c>
      <c r="P182" s="3">
        <f t="shared" si="28"/>
        <v>34</v>
      </c>
      <c r="Q182" s="3">
        <f t="shared" si="29"/>
        <v>43</v>
      </c>
    </row>
    <row r="183" spans="2:17" x14ac:dyDescent="0.25">
      <c r="C183" s="88"/>
      <c r="D183" s="88"/>
      <c r="E183" s="88"/>
      <c r="F183" s="88"/>
      <c r="G183" s="88"/>
      <c r="H183" s="88"/>
      <c r="I183" s="20" t="s">
        <v>35</v>
      </c>
      <c r="J183" s="16"/>
      <c r="K183" s="16"/>
      <c r="L183" s="13"/>
      <c r="M183" s="13"/>
    </row>
    <row r="184" spans="2:17" x14ac:dyDescent="0.25">
      <c r="C184" s="88"/>
      <c r="D184" s="88"/>
      <c r="E184" s="88"/>
      <c r="F184" s="88"/>
      <c r="G184" s="88"/>
      <c r="H184" s="88"/>
      <c r="I184" s="20" t="s">
        <v>36</v>
      </c>
      <c r="J184" s="13"/>
      <c r="K184" s="13"/>
      <c r="L184" s="13"/>
      <c r="M184" s="13"/>
    </row>
    <row r="185" spans="2:17" x14ac:dyDescent="0.25">
      <c r="B185" s="3">
        <f>TABLA1!B26</f>
        <v>0</v>
      </c>
      <c r="C185" s="88" t="e">
        <f>VLOOKUP(B185,TABLA1!$B$14:$BF$1596,2,FALSE)</f>
        <v>#N/A</v>
      </c>
      <c r="D185" s="88" t="e">
        <f>VLOOKUP(B185,TABLA1!$B$14:$BF$1596,3,FALSE)</f>
        <v>#N/A</v>
      </c>
      <c r="E185" s="88" t="e">
        <f>VLOOKUP(B185,TABLA1!$B$14:$BF$1596,4,FALSE)&amp;"/"&amp;VLOOKUP(B185,TABLA1!$B$14:$BF$1596,5,FALSE)</f>
        <v>#N/A</v>
      </c>
      <c r="F185" s="88" t="e">
        <f>VLOOKUP(B185,TABLA1!$B$14:$BF$1596,7,FALSE)</f>
        <v>#N/A</v>
      </c>
      <c r="G185" s="88"/>
      <c r="H185" s="88"/>
      <c r="I185" s="20" t="s">
        <v>46</v>
      </c>
      <c r="J185" s="16" t="str">
        <f>IFERROR(VLOOKUP(B185,TABLA1!$B$14:$BF$1596,27,FALSE),"")</f>
        <v/>
      </c>
      <c r="K185" s="16">
        <f>IFERROR(VLOOKUP(B185,TABLA1!$B$14:$BF$1596,39,FALSE),)</f>
        <v>0</v>
      </c>
      <c r="L185" s="13" t="str">
        <f>IFERROR(VLOOKUP(B186,TABLA1!$B$14:$BF$1596,27,FALSE),"-")</f>
        <v>-</v>
      </c>
      <c r="M185" s="13" t="str">
        <f>IFERROR(VLOOKUP(B186,TABLA1!$B$14:$BF$1596,39,FALSE),"-")</f>
        <v>-</v>
      </c>
      <c r="N185" s="3">
        <v>51</v>
      </c>
      <c r="O185" s="3">
        <v>60</v>
      </c>
      <c r="P185" s="3">
        <f>N185-25</f>
        <v>26</v>
      </c>
      <c r="Q185" s="3">
        <f>O185-25</f>
        <v>35</v>
      </c>
    </row>
    <row r="186" spans="2:17" x14ac:dyDescent="0.25">
      <c r="C186" s="88"/>
      <c r="D186" s="88"/>
      <c r="E186" s="88"/>
      <c r="F186" s="88"/>
      <c r="G186" s="88"/>
      <c r="H186" s="88"/>
      <c r="I186" s="20" t="s">
        <v>47</v>
      </c>
      <c r="J186" s="13">
        <f>IFERROR(VLOOKUP(B185,TABLA1!$B$14:$BF$1596,26,FALSE),)</f>
        <v>0</v>
      </c>
      <c r="K186" s="13">
        <f>IFERROR(VLOOKUP(B185,TABLA1!$B$14:$BF$1596,38,FALSE),)</f>
        <v>0</v>
      </c>
      <c r="L186" s="13" t="str">
        <f>IFERROR(VLOOKUP(B186,TABLA1!$B$14:$BF$1596,26,FALSE),"-")</f>
        <v>-</v>
      </c>
      <c r="M186" s="13" t="str">
        <f>IFERROR(VLOOKUP(B186,TABLA1!$B$14:$BF$1596,38,FALSE),"-")</f>
        <v>-</v>
      </c>
    </row>
    <row r="187" spans="2:17" x14ac:dyDescent="0.25">
      <c r="C187" s="88"/>
      <c r="D187" s="88"/>
      <c r="E187" s="88"/>
      <c r="F187" s="88"/>
      <c r="G187" s="88"/>
      <c r="H187" s="88"/>
      <c r="I187" s="20" t="s">
        <v>10</v>
      </c>
      <c r="J187" s="16">
        <f>IFERROR(VLOOKUP(B185,TABLA1!$B$14:$BF$1596,28,FALSE),)</f>
        <v>0</v>
      </c>
      <c r="K187" s="16">
        <f>IFERROR(VLOOKUP(B185,TABLA1!$B$14:$BF$1596,40,FALSE),)</f>
        <v>0</v>
      </c>
      <c r="L187" s="13" t="str">
        <f>IFERROR(VLOOKUP(B186,TABLA1!$B$14:$BF$1596,28,FALSE),"-")</f>
        <v>-</v>
      </c>
      <c r="M187" s="13" t="str">
        <f>IFERROR(VLOOKUP(B186,TABLA1!$B$14:$BF$1596,40,FALSE),"-")</f>
        <v>-</v>
      </c>
    </row>
    <row r="188" spans="2:17" x14ac:dyDescent="0.25">
      <c r="C188" s="88"/>
      <c r="D188" s="88"/>
      <c r="E188" s="88"/>
      <c r="F188" s="88"/>
      <c r="G188" s="88"/>
      <c r="H188" s="88"/>
      <c r="I188" s="20" t="s">
        <v>11</v>
      </c>
      <c r="J188" s="13">
        <f>IFERROR(VLOOKUP(B185,TABLA1!$B$14:$BF$1596,29,FALSE),)</f>
        <v>0</v>
      </c>
      <c r="K188" s="13">
        <f>IFERROR(VLOOKUP(B185,TABLA1!$B$14:$BF$1596,41,FALSE),)</f>
        <v>0</v>
      </c>
      <c r="L188" s="13" t="str">
        <f>IFERROR(VLOOKUP(B186,TABLA1!$B$14:$BF$1596,29,FALSE),"-")</f>
        <v>-</v>
      </c>
      <c r="M188" s="13" t="str">
        <f>IFERROR(VLOOKUP(B186,TABLA1!$B$14:$BF$1596,41,FALSE),"-")</f>
        <v>-</v>
      </c>
    </row>
    <row r="189" spans="2:17" x14ac:dyDescent="0.25">
      <c r="C189" s="88"/>
      <c r="D189" s="88"/>
      <c r="E189" s="88"/>
      <c r="F189" s="88"/>
      <c r="G189" s="88"/>
      <c r="H189" s="88"/>
      <c r="I189" s="20" t="s">
        <v>48</v>
      </c>
      <c r="J189" s="16">
        <f>IFERROR(VLOOKUP(B185,TABLA1!$B$14:$BF$1596,31,FALSE),)</f>
        <v>0</v>
      </c>
      <c r="K189" s="16">
        <f>IFERROR(VLOOKUP(B185,TABLA1!$B$14:$BF$1596,43,FALSE),)</f>
        <v>0</v>
      </c>
      <c r="L189" s="13" t="str">
        <f>IFERROR(VLOOKUP(B186,TABLA1!$B$14:$BF$1596,31,FALSE),"-")</f>
        <v>-</v>
      </c>
      <c r="M189" s="13" t="str">
        <f>IFERROR(VLOOKUP(B186,TABLA1!$B$14:$BF$1596,43,FALSE),"-")</f>
        <v>-</v>
      </c>
      <c r="N189" s="3">
        <v>52</v>
      </c>
      <c r="O189" s="3">
        <v>61</v>
      </c>
      <c r="P189" s="3">
        <f t="shared" ref="P189:P194" si="30">N189-25</f>
        <v>27</v>
      </c>
      <c r="Q189" s="3">
        <f t="shared" ref="Q189:Q194" si="31">O189-25</f>
        <v>36</v>
      </c>
    </row>
    <row r="190" spans="2:17" x14ac:dyDescent="0.25">
      <c r="C190" s="88"/>
      <c r="D190" s="88"/>
      <c r="E190" s="88"/>
      <c r="F190" s="88"/>
      <c r="G190" s="88"/>
      <c r="H190" s="88"/>
      <c r="I190" s="20" t="s">
        <v>49</v>
      </c>
      <c r="J190" s="16">
        <f>IFERROR(VLOOKUP(B185,TABLA1!$B$14:$BF$1596,30,FALSE),)</f>
        <v>0</v>
      </c>
      <c r="K190" s="16">
        <f>IFERROR(VLOOKUP(B185,TABLA1!$B$14:$BF$1596,42,FALSE),)</f>
        <v>0</v>
      </c>
      <c r="L190" s="13" t="str">
        <f>IFERROR(VLOOKUP(B186,TABLA1!$B$14:$BF$1596,30,FALSE),"-")</f>
        <v>-</v>
      </c>
      <c r="M190" s="13" t="str">
        <f>IFERROR(VLOOKUP(B186,TABLA1!$B$14:$BF$1596,42,FALSE),"-")</f>
        <v>-</v>
      </c>
      <c r="N190" s="3">
        <v>53</v>
      </c>
      <c r="O190" s="3">
        <v>62</v>
      </c>
      <c r="P190" s="3">
        <f t="shared" si="30"/>
        <v>28</v>
      </c>
      <c r="Q190" s="3">
        <f t="shared" si="31"/>
        <v>37</v>
      </c>
    </row>
    <row r="191" spans="2:17" x14ac:dyDescent="0.25">
      <c r="C191" s="88"/>
      <c r="D191" s="88"/>
      <c r="E191" s="88"/>
      <c r="F191" s="88"/>
      <c r="G191" s="88"/>
      <c r="H191" s="88"/>
      <c r="I191" s="20" t="s">
        <v>33</v>
      </c>
      <c r="J191" s="16">
        <f>IFERROR(VLOOKUP(B185,TABLA1!$B$14:$BF$1596,32,FALSE),)</f>
        <v>0</v>
      </c>
      <c r="K191" s="16">
        <f>IFERROR(VLOOKUP(B185,TABLA1!$B$14:$BF$1596,44,FALSE),)</f>
        <v>0</v>
      </c>
      <c r="L191" s="13" t="str">
        <f>IFERROR(VLOOKUP(B186,TABLA1!$B$14:$BF$1596,32,FALSE),"-")</f>
        <v>-</v>
      </c>
      <c r="M191" s="13" t="str">
        <f>IFERROR(VLOOKUP(B186,TABLA1!$B$14:$BF$1596,44,FALSE),"-")</f>
        <v>-</v>
      </c>
      <c r="N191" s="3">
        <v>54</v>
      </c>
      <c r="O191" s="3">
        <v>63</v>
      </c>
      <c r="P191" s="3">
        <f t="shared" si="30"/>
        <v>29</v>
      </c>
      <c r="Q191" s="3">
        <f t="shared" si="31"/>
        <v>38</v>
      </c>
    </row>
    <row r="192" spans="2:17" x14ac:dyDescent="0.25">
      <c r="C192" s="88"/>
      <c r="D192" s="88"/>
      <c r="E192" s="88"/>
      <c r="F192" s="88"/>
      <c r="G192" s="88"/>
      <c r="H192" s="88"/>
      <c r="I192" s="20" t="s">
        <v>50</v>
      </c>
      <c r="J192" s="16">
        <f>IFERROR(VLOOKUP(B185,TABLA1!$B$14:$BF$1596,35,FALSE),)</f>
        <v>0</v>
      </c>
      <c r="K192" s="16">
        <f>IFERROR(VLOOKUP(B185,TABLA1!$B$14:$BF$1596,47,FALSE),)</f>
        <v>0</v>
      </c>
      <c r="L192" s="13" t="str">
        <f>IFERROR(VLOOKUP(B186,TABLA1!$B$14:$BF$1596,35,FALSE),"-")</f>
        <v>-</v>
      </c>
      <c r="M192" s="13" t="str">
        <f>IFERROR(VLOOKUP(B186,TABLA1!$B$14:$BF$1596,47,FALSE),"-")</f>
        <v>-</v>
      </c>
      <c r="N192" s="3">
        <v>56</v>
      </c>
      <c r="O192" s="3">
        <v>65</v>
      </c>
      <c r="P192" s="3">
        <f t="shared" si="30"/>
        <v>31</v>
      </c>
      <c r="Q192" s="3">
        <f t="shared" si="31"/>
        <v>40</v>
      </c>
    </row>
    <row r="193" spans="2:17" x14ac:dyDescent="0.25">
      <c r="C193" s="88"/>
      <c r="D193" s="88"/>
      <c r="E193" s="88"/>
      <c r="F193" s="88"/>
      <c r="G193" s="88"/>
      <c r="H193" s="88"/>
      <c r="I193" s="20" t="s">
        <v>51</v>
      </c>
      <c r="J193" s="16">
        <f>IFERROR(VLOOKUP(B185,TABLA1!$B$14:$BF$1596,34,FALSE),)</f>
        <v>0</v>
      </c>
      <c r="K193" s="16">
        <f>IFERROR(VLOOKUP(B185,TABLA1!$B$14:$BF$1596,46,FALSE),)</f>
        <v>0</v>
      </c>
      <c r="L193" s="13" t="str">
        <f>IFERROR(VLOOKUP(B186,TABLA1!$B$14:$BF$1596,34,FALSE),"-")</f>
        <v>-</v>
      </c>
      <c r="M193" s="13" t="str">
        <f>IFERROR(VLOOKUP(B186,TABLA1!$B$14:$BF$1596,46,FALSE),"-")</f>
        <v>-</v>
      </c>
      <c r="N193" s="3">
        <v>57</v>
      </c>
      <c r="O193" s="3">
        <v>66</v>
      </c>
      <c r="P193" s="3">
        <f t="shared" si="30"/>
        <v>32</v>
      </c>
      <c r="Q193" s="3">
        <f t="shared" si="31"/>
        <v>41</v>
      </c>
    </row>
    <row r="194" spans="2:17" x14ac:dyDescent="0.25">
      <c r="C194" s="88"/>
      <c r="D194" s="88"/>
      <c r="E194" s="88"/>
      <c r="F194" s="88"/>
      <c r="G194" s="88"/>
      <c r="H194" s="88"/>
      <c r="I194" s="20" t="s">
        <v>34</v>
      </c>
      <c r="J194" s="16">
        <f>IFERROR(VLOOKUP(B185,TABLA1!$B$14:$BF$1596,36,FALSE),)</f>
        <v>0</v>
      </c>
      <c r="K194" s="16">
        <f>IFERROR(VLOOKUP(B185,TABLA1!$B$14:$BF$1596,48,FALSE),)</f>
        <v>0</v>
      </c>
      <c r="L194" s="13" t="str">
        <f>IFERROR(VLOOKUP(B186,TABLA1!$B$14:$BF$1596,36,FALSE),"-")</f>
        <v>-</v>
      </c>
      <c r="M194" s="13" t="str">
        <f>IFERROR(VLOOKUP(B186,TABLA1!$B$14:$BF$1596,48,FALSE),"-")</f>
        <v>-</v>
      </c>
      <c r="N194" s="3">
        <v>59</v>
      </c>
      <c r="O194" s="3">
        <v>68</v>
      </c>
      <c r="P194" s="3">
        <f t="shared" si="30"/>
        <v>34</v>
      </c>
      <c r="Q194" s="3">
        <f t="shared" si="31"/>
        <v>43</v>
      </c>
    </row>
    <row r="195" spans="2:17" x14ac:dyDescent="0.25">
      <c r="C195" s="88"/>
      <c r="D195" s="88"/>
      <c r="E195" s="88"/>
      <c r="F195" s="88"/>
      <c r="G195" s="88"/>
      <c r="H195" s="88"/>
      <c r="I195" s="20" t="s">
        <v>35</v>
      </c>
      <c r="J195" s="16"/>
      <c r="K195" s="16"/>
      <c r="L195" s="13"/>
      <c r="M195" s="13"/>
    </row>
    <row r="196" spans="2:17" x14ac:dyDescent="0.25">
      <c r="C196" s="88"/>
      <c r="D196" s="88"/>
      <c r="E196" s="88"/>
      <c r="F196" s="88"/>
      <c r="G196" s="88"/>
      <c r="H196" s="88"/>
      <c r="I196" s="20" t="s">
        <v>36</v>
      </c>
      <c r="J196" s="13"/>
      <c r="K196" s="13"/>
      <c r="L196" s="13"/>
      <c r="M196" s="13"/>
    </row>
    <row r="197" spans="2:17" x14ac:dyDescent="0.25">
      <c r="B197" s="3">
        <f>TABLA1!B27</f>
        <v>0</v>
      </c>
      <c r="C197" s="88" t="e">
        <f>VLOOKUP(B197,TABLA1!$B$14:$BF$1596,2,FALSE)</f>
        <v>#N/A</v>
      </c>
      <c r="D197" s="88" t="e">
        <f>VLOOKUP(B197,TABLA1!$B$14:$BF$1596,3,FALSE)</f>
        <v>#N/A</v>
      </c>
      <c r="E197" s="88" t="e">
        <f>VLOOKUP(B197,TABLA1!$B$14:$BF$1596,4,FALSE)&amp;"/"&amp;VLOOKUP(B197,TABLA1!$B$14:$BF$1596,5,FALSE)</f>
        <v>#N/A</v>
      </c>
      <c r="F197" s="88" t="e">
        <f>VLOOKUP(B197,TABLA1!$B$14:$BF$1596,7,FALSE)</f>
        <v>#N/A</v>
      </c>
      <c r="G197" s="88"/>
      <c r="H197" s="88"/>
      <c r="I197" s="20" t="s">
        <v>46</v>
      </c>
      <c r="J197" s="16" t="str">
        <f>IFERROR(VLOOKUP(B197,TABLA1!$B$14:$BF$1596,27,FALSE),"")</f>
        <v/>
      </c>
      <c r="K197" s="16">
        <f>IFERROR(VLOOKUP(B197,TABLA1!$B$14:$BF$1596,39,FALSE),)</f>
        <v>0</v>
      </c>
      <c r="L197" s="13" t="str">
        <f>IFERROR(VLOOKUP(B198,TABLA1!$B$14:$BF$1596,27,FALSE),"-")</f>
        <v>-</v>
      </c>
      <c r="M197" s="13" t="str">
        <f>IFERROR(VLOOKUP(B198,TABLA1!$B$14:$BF$1596,39,FALSE),"-")</f>
        <v>-</v>
      </c>
      <c r="N197" s="3">
        <v>51</v>
      </c>
      <c r="O197" s="3">
        <v>60</v>
      </c>
      <c r="P197" s="3">
        <f>N197-25</f>
        <v>26</v>
      </c>
      <c r="Q197" s="3">
        <f>O197-25</f>
        <v>35</v>
      </c>
    </row>
    <row r="198" spans="2:17" x14ac:dyDescent="0.25">
      <c r="C198" s="88"/>
      <c r="D198" s="88"/>
      <c r="E198" s="88"/>
      <c r="F198" s="88"/>
      <c r="G198" s="88"/>
      <c r="H198" s="88"/>
      <c r="I198" s="20" t="s">
        <v>47</v>
      </c>
      <c r="J198" s="13">
        <f>IFERROR(VLOOKUP(B197,TABLA1!$B$14:$BF$1596,26,FALSE),)</f>
        <v>0</v>
      </c>
      <c r="K198" s="13">
        <f>IFERROR(VLOOKUP(B197,TABLA1!$B$14:$BF$1596,38,FALSE),)</f>
        <v>0</v>
      </c>
      <c r="L198" s="13" t="str">
        <f>IFERROR(VLOOKUP(B198,TABLA1!$B$14:$BF$1596,26,FALSE),"-")</f>
        <v>-</v>
      </c>
      <c r="M198" s="13" t="str">
        <f>IFERROR(VLOOKUP(B198,TABLA1!$B$14:$BF$1596,38,FALSE),"-")</f>
        <v>-</v>
      </c>
    </row>
    <row r="199" spans="2:17" x14ac:dyDescent="0.25">
      <c r="C199" s="88"/>
      <c r="D199" s="88"/>
      <c r="E199" s="88"/>
      <c r="F199" s="88"/>
      <c r="G199" s="88"/>
      <c r="H199" s="88"/>
      <c r="I199" s="20" t="s">
        <v>10</v>
      </c>
      <c r="J199" s="16">
        <f>IFERROR(VLOOKUP(B197,TABLA1!$B$14:$BF$1596,28,FALSE),)</f>
        <v>0</v>
      </c>
      <c r="K199" s="16">
        <f>IFERROR(VLOOKUP(B197,TABLA1!$B$14:$BF$1596,40,FALSE),)</f>
        <v>0</v>
      </c>
      <c r="L199" s="13" t="str">
        <f>IFERROR(VLOOKUP(B198,TABLA1!$B$14:$BF$1596,28,FALSE),"-")</f>
        <v>-</v>
      </c>
      <c r="M199" s="13" t="str">
        <f>IFERROR(VLOOKUP(B198,TABLA1!$B$14:$BF$1596,40,FALSE),"-")</f>
        <v>-</v>
      </c>
    </row>
    <row r="200" spans="2:17" x14ac:dyDescent="0.25">
      <c r="C200" s="88"/>
      <c r="D200" s="88"/>
      <c r="E200" s="88"/>
      <c r="F200" s="88"/>
      <c r="G200" s="88"/>
      <c r="H200" s="88"/>
      <c r="I200" s="20" t="s">
        <v>11</v>
      </c>
      <c r="J200" s="13">
        <f>IFERROR(VLOOKUP(B197,TABLA1!$B$14:$BF$1596,29,FALSE),)</f>
        <v>0</v>
      </c>
      <c r="K200" s="13">
        <f>IFERROR(VLOOKUP(B197,TABLA1!$B$14:$BF$1596,41,FALSE),)</f>
        <v>0</v>
      </c>
      <c r="L200" s="13" t="str">
        <f>IFERROR(VLOOKUP(B198,TABLA1!$B$14:$BF$1596,29,FALSE),"-")</f>
        <v>-</v>
      </c>
      <c r="M200" s="13" t="str">
        <f>IFERROR(VLOOKUP(B198,TABLA1!$B$14:$BF$1596,41,FALSE),"-")</f>
        <v>-</v>
      </c>
    </row>
    <row r="201" spans="2:17" x14ac:dyDescent="0.25">
      <c r="C201" s="88"/>
      <c r="D201" s="88"/>
      <c r="E201" s="88"/>
      <c r="F201" s="88"/>
      <c r="G201" s="88"/>
      <c r="H201" s="88"/>
      <c r="I201" s="20" t="s">
        <v>48</v>
      </c>
      <c r="J201" s="16">
        <f>IFERROR(VLOOKUP(B197,TABLA1!$B$14:$BF$1596,31,FALSE),)</f>
        <v>0</v>
      </c>
      <c r="K201" s="16">
        <f>IFERROR(VLOOKUP(B197,TABLA1!$B$14:$BF$1596,43,FALSE),)</f>
        <v>0</v>
      </c>
      <c r="L201" s="13" t="str">
        <f>IFERROR(VLOOKUP(B198,TABLA1!$B$14:$BF$1596,31,FALSE),"-")</f>
        <v>-</v>
      </c>
      <c r="M201" s="13" t="str">
        <f>IFERROR(VLOOKUP(B198,TABLA1!$B$14:$BF$1596,43,FALSE),"-")</f>
        <v>-</v>
      </c>
      <c r="N201" s="3">
        <v>52</v>
      </c>
      <c r="O201" s="3">
        <v>61</v>
      </c>
      <c r="P201" s="3">
        <f t="shared" ref="P201:P206" si="32">N201-25</f>
        <v>27</v>
      </c>
      <c r="Q201" s="3">
        <f t="shared" ref="Q201:Q206" si="33">O201-25</f>
        <v>36</v>
      </c>
    </row>
    <row r="202" spans="2:17" x14ac:dyDescent="0.25">
      <c r="C202" s="88"/>
      <c r="D202" s="88"/>
      <c r="E202" s="88"/>
      <c r="F202" s="88"/>
      <c r="G202" s="88"/>
      <c r="H202" s="88"/>
      <c r="I202" s="20" t="s">
        <v>49</v>
      </c>
      <c r="J202" s="16">
        <f>IFERROR(VLOOKUP(B197,TABLA1!$B$14:$BF$1596,30,FALSE),)</f>
        <v>0</v>
      </c>
      <c r="K202" s="16">
        <f>IFERROR(VLOOKUP(B197,TABLA1!$B$14:$BF$1596,42,FALSE),)</f>
        <v>0</v>
      </c>
      <c r="L202" s="13" t="str">
        <f>IFERROR(VLOOKUP(B198,TABLA1!$B$14:$BF$1596,30,FALSE),"-")</f>
        <v>-</v>
      </c>
      <c r="M202" s="13" t="str">
        <f>IFERROR(VLOOKUP(B198,TABLA1!$B$14:$BF$1596,42,FALSE),"-")</f>
        <v>-</v>
      </c>
      <c r="N202" s="3">
        <v>53</v>
      </c>
      <c r="O202" s="3">
        <v>62</v>
      </c>
      <c r="P202" s="3">
        <f t="shared" si="32"/>
        <v>28</v>
      </c>
      <c r="Q202" s="3">
        <f t="shared" si="33"/>
        <v>37</v>
      </c>
    </row>
    <row r="203" spans="2:17" x14ac:dyDescent="0.25">
      <c r="C203" s="88"/>
      <c r="D203" s="88"/>
      <c r="E203" s="88"/>
      <c r="F203" s="88"/>
      <c r="G203" s="88"/>
      <c r="H203" s="88"/>
      <c r="I203" s="20" t="s">
        <v>33</v>
      </c>
      <c r="J203" s="16">
        <f>IFERROR(VLOOKUP(B197,TABLA1!$B$14:$BF$1596,32,FALSE),)</f>
        <v>0</v>
      </c>
      <c r="K203" s="16">
        <f>IFERROR(VLOOKUP(B197,TABLA1!$B$14:$BF$1596,44,FALSE),)</f>
        <v>0</v>
      </c>
      <c r="L203" s="13" t="str">
        <f>IFERROR(VLOOKUP(B198,TABLA1!$B$14:$BF$1596,32,FALSE),"-")</f>
        <v>-</v>
      </c>
      <c r="M203" s="13" t="str">
        <f>IFERROR(VLOOKUP(B198,TABLA1!$B$14:$BF$1596,44,FALSE),"-")</f>
        <v>-</v>
      </c>
      <c r="N203" s="3">
        <v>54</v>
      </c>
      <c r="O203" s="3">
        <v>63</v>
      </c>
      <c r="P203" s="3">
        <f t="shared" si="32"/>
        <v>29</v>
      </c>
      <c r="Q203" s="3">
        <f t="shared" si="33"/>
        <v>38</v>
      </c>
    </row>
    <row r="204" spans="2:17" x14ac:dyDescent="0.25">
      <c r="C204" s="88"/>
      <c r="D204" s="88"/>
      <c r="E204" s="88"/>
      <c r="F204" s="88"/>
      <c r="G204" s="88"/>
      <c r="H204" s="88"/>
      <c r="I204" s="20" t="s">
        <v>50</v>
      </c>
      <c r="J204" s="16">
        <f>IFERROR(VLOOKUP(B197,TABLA1!$B$14:$BF$1596,35,FALSE),)</f>
        <v>0</v>
      </c>
      <c r="K204" s="16">
        <f>IFERROR(VLOOKUP(B197,TABLA1!$B$14:$BF$1596,47,FALSE),)</f>
        <v>0</v>
      </c>
      <c r="L204" s="13" t="str">
        <f>IFERROR(VLOOKUP(B198,TABLA1!$B$14:$BF$1596,35,FALSE),"-")</f>
        <v>-</v>
      </c>
      <c r="M204" s="13" t="str">
        <f>IFERROR(VLOOKUP(B198,TABLA1!$B$14:$BF$1596,47,FALSE),"-")</f>
        <v>-</v>
      </c>
      <c r="N204" s="3">
        <v>56</v>
      </c>
      <c r="O204" s="3">
        <v>65</v>
      </c>
      <c r="P204" s="3">
        <f t="shared" si="32"/>
        <v>31</v>
      </c>
      <c r="Q204" s="3">
        <f t="shared" si="33"/>
        <v>40</v>
      </c>
    </row>
    <row r="205" spans="2:17" x14ac:dyDescent="0.25">
      <c r="C205" s="88"/>
      <c r="D205" s="88"/>
      <c r="E205" s="88"/>
      <c r="F205" s="88"/>
      <c r="G205" s="88"/>
      <c r="H205" s="88"/>
      <c r="I205" s="20" t="s">
        <v>51</v>
      </c>
      <c r="J205" s="16">
        <f>IFERROR(VLOOKUP(B197,TABLA1!$B$14:$BF$1596,34,FALSE),)</f>
        <v>0</v>
      </c>
      <c r="K205" s="16">
        <f>IFERROR(VLOOKUP(B197,TABLA1!$B$14:$BF$1596,46,FALSE),)</f>
        <v>0</v>
      </c>
      <c r="L205" s="13" t="str">
        <f>IFERROR(VLOOKUP(B198,TABLA1!$B$14:$BF$1596,34,FALSE),"-")</f>
        <v>-</v>
      </c>
      <c r="M205" s="13" t="str">
        <f>IFERROR(VLOOKUP(B198,TABLA1!$B$14:$BF$1596,46,FALSE),"-")</f>
        <v>-</v>
      </c>
      <c r="N205" s="3">
        <v>57</v>
      </c>
      <c r="O205" s="3">
        <v>66</v>
      </c>
      <c r="P205" s="3">
        <f t="shared" si="32"/>
        <v>32</v>
      </c>
      <c r="Q205" s="3">
        <f t="shared" si="33"/>
        <v>41</v>
      </c>
    </row>
    <row r="206" spans="2:17" x14ac:dyDescent="0.25">
      <c r="C206" s="88"/>
      <c r="D206" s="88"/>
      <c r="E206" s="88"/>
      <c r="F206" s="88"/>
      <c r="G206" s="88"/>
      <c r="H206" s="88"/>
      <c r="I206" s="20" t="s">
        <v>34</v>
      </c>
      <c r="J206" s="16">
        <f>IFERROR(VLOOKUP(B197,TABLA1!$B$14:$BF$1596,36,FALSE),)</f>
        <v>0</v>
      </c>
      <c r="K206" s="16">
        <f>IFERROR(VLOOKUP(B197,TABLA1!$B$14:$BF$1596,48,FALSE),)</f>
        <v>0</v>
      </c>
      <c r="L206" s="13" t="str">
        <f>IFERROR(VLOOKUP(B198,TABLA1!$B$14:$BF$1596,36,FALSE),"-")</f>
        <v>-</v>
      </c>
      <c r="M206" s="13" t="str">
        <f>IFERROR(VLOOKUP(B198,TABLA1!$B$14:$BF$1596,48,FALSE),"-")</f>
        <v>-</v>
      </c>
      <c r="N206" s="3">
        <v>59</v>
      </c>
      <c r="O206" s="3">
        <v>68</v>
      </c>
      <c r="P206" s="3">
        <f t="shared" si="32"/>
        <v>34</v>
      </c>
      <c r="Q206" s="3">
        <f t="shared" si="33"/>
        <v>43</v>
      </c>
    </row>
    <row r="207" spans="2:17" x14ac:dyDescent="0.25">
      <c r="C207" s="88"/>
      <c r="D207" s="88"/>
      <c r="E207" s="88"/>
      <c r="F207" s="88"/>
      <c r="G207" s="88"/>
      <c r="H207" s="88"/>
      <c r="I207" s="20" t="s">
        <v>35</v>
      </c>
      <c r="J207" s="16"/>
      <c r="K207" s="16"/>
      <c r="L207" s="13"/>
      <c r="M207" s="13"/>
    </row>
    <row r="208" spans="2:17" x14ac:dyDescent="0.25">
      <c r="C208" s="88"/>
      <c r="D208" s="88"/>
      <c r="E208" s="88"/>
      <c r="F208" s="88"/>
      <c r="G208" s="88"/>
      <c r="H208" s="88"/>
      <c r="I208" s="20" t="s">
        <v>36</v>
      </c>
      <c r="J208" s="13"/>
      <c r="K208" s="13"/>
      <c r="L208" s="13"/>
      <c r="M208" s="13"/>
    </row>
    <row r="209" spans="2:17" x14ac:dyDescent="0.25">
      <c r="B209" s="3">
        <f>TABLA1!B28</f>
        <v>0</v>
      </c>
      <c r="C209" s="88" t="e">
        <f>VLOOKUP(B209,TABLA1!$B$14:$BF$1596,2,FALSE)</f>
        <v>#N/A</v>
      </c>
      <c r="D209" s="88" t="e">
        <f>VLOOKUP(B209,TABLA1!$B$14:$BF$1596,3,FALSE)</f>
        <v>#N/A</v>
      </c>
      <c r="E209" s="88" t="e">
        <f>VLOOKUP(B209,TABLA1!$B$14:$BF$1596,4,FALSE)&amp;"/"&amp;VLOOKUP(B209,TABLA1!$B$14:$BF$1596,5,FALSE)</f>
        <v>#N/A</v>
      </c>
      <c r="F209" s="88" t="e">
        <f>VLOOKUP(B209,TABLA1!$B$14:$BF$1596,7,FALSE)</f>
        <v>#N/A</v>
      </c>
      <c r="G209" s="88"/>
      <c r="H209" s="88"/>
      <c r="I209" s="20" t="s">
        <v>46</v>
      </c>
      <c r="J209" s="16" t="str">
        <f>IFERROR(VLOOKUP(B209,TABLA1!$B$14:$BF$1596,27,FALSE),"")</f>
        <v/>
      </c>
      <c r="K209" s="16">
        <f>IFERROR(VLOOKUP(B209,TABLA1!$B$14:$BF$1596,39,FALSE),)</f>
        <v>0</v>
      </c>
      <c r="L209" s="13" t="str">
        <f>IFERROR(VLOOKUP(B210,TABLA1!$B$14:$BF$1596,27,FALSE),"-")</f>
        <v>-</v>
      </c>
      <c r="M209" s="13" t="str">
        <f>IFERROR(VLOOKUP(B210,TABLA1!$B$14:$BF$1596,39,FALSE),"-")</f>
        <v>-</v>
      </c>
      <c r="N209" s="3">
        <v>51</v>
      </c>
      <c r="O209" s="3">
        <v>60</v>
      </c>
      <c r="P209" s="3">
        <f>N209-25</f>
        <v>26</v>
      </c>
      <c r="Q209" s="3">
        <f>O209-25</f>
        <v>35</v>
      </c>
    </row>
    <row r="210" spans="2:17" x14ac:dyDescent="0.25">
      <c r="C210" s="88"/>
      <c r="D210" s="88"/>
      <c r="E210" s="88"/>
      <c r="F210" s="88"/>
      <c r="G210" s="88"/>
      <c r="H210" s="88"/>
      <c r="I210" s="20" t="s">
        <v>47</v>
      </c>
      <c r="J210" s="13">
        <f>IFERROR(VLOOKUP(B209,TABLA1!$B$14:$BF$1596,26,FALSE),)</f>
        <v>0</v>
      </c>
      <c r="K210" s="13">
        <f>IFERROR(VLOOKUP(B209,TABLA1!$B$14:$BF$1596,38,FALSE),)</f>
        <v>0</v>
      </c>
      <c r="L210" s="13" t="str">
        <f>IFERROR(VLOOKUP(B210,TABLA1!$B$14:$BF$1596,26,FALSE),"-")</f>
        <v>-</v>
      </c>
      <c r="M210" s="13" t="str">
        <f>IFERROR(VLOOKUP(B210,TABLA1!$B$14:$BF$1596,38,FALSE),"-")</f>
        <v>-</v>
      </c>
    </row>
    <row r="211" spans="2:17" x14ac:dyDescent="0.25">
      <c r="C211" s="88"/>
      <c r="D211" s="88"/>
      <c r="E211" s="88"/>
      <c r="F211" s="88"/>
      <c r="G211" s="88"/>
      <c r="H211" s="88"/>
      <c r="I211" s="20" t="s">
        <v>10</v>
      </c>
      <c r="J211" s="16">
        <f>IFERROR(VLOOKUP(B209,TABLA1!$B$14:$BF$1596,28,FALSE),)</f>
        <v>0</v>
      </c>
      <c r="K211" s="16">
        <f>IFERROR(VLOOKUP(B209,TABLA1!$B$14:$BF$1596,40,FALSE),)</f>
        <v>0</v>
      </c>
      <c r="L211" s="13" t="str">
        <f>IFERROR(VLOOKUP(B210,TABLA1!$B$14:$BF$1596,28,FALSE),"-")</f>
        <v>-</v>
      </c>
      <c r="M211" s="13" t="str">
        <f>IFERROR(VLOOKUP(B210,TABLA1!$B$14:$BF$1596,40,FALSE),"-")</f>
        <v>-</v>
      </c>
    </row>
    <row r="212" spans="2:17" x14ac:dyDescent="0.25">
      <c r="C212" s="88"/>
      <c r="D212" s="88"/>
      <c r="E212" s="88"/>
      <c r="F212" s="88"/>
      <c r="G212" s="88"/>
      <c r="H212" s="88"/>
      <c r="I212" s="20" t="s">
        <v>11</v>
      </c>
      <c r="J212" s="13">
        <f>IFERROR(VLOOKUP(B209,TABLA1!$B$14:$BF$1596,29,FALSE),)</f>
        <v>0</v>
      </c>
      <c r="K212" s="13">
        <f>IFERROR(VLOOKUP(B209,TABLA1!$B$14:$BF$1596,41,FALSE),)</f>
        <v>0</v>
      </c>
      <c r="L212" s="13" t="str">
        <f>IFERROR(VLOOKUP(B210,TABLA1!$B$14:$BF$1596,29,FALSE),"-")</f>
        <v>-</v>
      </c>
      <c r="M212" s="13" t="str">
        <f>IFERROR(VLOOKUP(B210,TABLA1!$B$14:$BF$1596,41,FALSE),"-")</f>
        <v>-</v>
      </c>
    </row>
    <row r="213" spans="2:17" x14ac:dyDescent="0.25">
      <c r="C213" s="88"/>
      <c r="D213" s="88"/>
      <c r="E213" s="88"/>
      <c r="F213" s="88"/>
      <c r="G213" s="88"/>
      <c r="H213" s="88"/>
      <c r="I213" s="20" t="s">
        <v>48</v>
      </c>
      <c r="J213" s="16">
        <f>IFERROR(VLOOKUP(B209,TABLA1!$B$14:$BF$1596,31,FALSE),)</f>
        <v>0</v>
      </c>
      <c r="K213" s="16">
        <f>IFERROR(VLOOKUP(B209,TABLA1!$B$14:$BF$1596,43,FALSE),)</f>
        <v>0</v>
      </c>
      <c r="L213" s="13" t="str">
        <f>IFERROR(VLOOKUP(B210,TABLA1!$B$14:$BF$1596,31,FALSE),"-")</f>
        <v>-</v>
      </c>
      <c r="M213" s="13" t="str">
        <f>IFERROR(VLOOKUP(B210,TABLA1!$B$14:$BF$1596,43,FALSE),"-")</f>
        <v>-</v>
      </c>
      <c r="N213" s="3">
        <v>52</v>
      </c>
      <c r="O213" s="3">
        <v>61</v>
      </c>
      <c r="P213" s="3">
        <f t="shared" ref="P213:P218" si="34">N213-25</f>
        <v>27</v>
      </c>
      <c r="Q213" s="3">
        <f t="shared" ref="Q213:Q218" si="35">O213-25</f>
        <v>36</v>
      </c>
    </row>
    <row r="214" spans="2:17" x14ac:dyDescent="0.25">
      <c r="C214" s="88"/>
      <c r="D214" s="88"/>
      <c r="E214" s="88"/>
      <c r="F214" s="88"/>
      <c r="G214" s="88"/>
      <c r="H214" s="88"/>
      <c r="I214" s="20" t="s">
        <v>49</v>
      </c>
      <c r="J214" s="16">
        <f>IFERROR(VLOOKUP(B209,TABLA1!$B$14:$BF$1596,30,FALSE),)</f>
        <v>0</v>
      </c>
      <c r="K214" s="16">
        <f>IFERROR(VLOOKUP(B209,TABLA1!$B$14:$BF$1596,42,FALSE),)</f>
        <v>0</v>
      </c>
      <c r="L214" s="13" t="str">
        <f>IFERROR(VLOOKUP(B210,TABLA1!$B$14:$BF$1596,30,FALSE),"-")</f>
        <v>-</v>
      </c>
      <c r="M214" s="13" t="str">
        <f>IFERROR(VLOOKUP(B210,TABLA1!$B$14:$BF$1596,42,FALSE),"-")</f>
        <v>-</v>
      </c>
      <c r="N214" s="3">
        <v>53</v>
      </c>
      <c r="O214" s="3">
        <v>62</v>
      </c>
      <c r="P214" s="3">
        <f t="shared" si="34"/>
        <v>28</v>
      </c>
      <c r="Q214" s="3">
        <f t="shared" si="35"/>
        <v>37</v>
      </c>
    </row>
    <row r="215" spans="2:17" x14ac:dyDescent="0.25">
      <c r="C215" s="88"/>
      <c r="D215" s="88"/>
      <c r="E215" s="88"/>
      <c r="F215" s="88"/>
      <c r="G215" s="88"/>
      <c r="H215" s="88"/>
      <c r="I215" s="20" t="s">
        <v>33</v>
      </c>
      <c r="J215" s="16">
        <f>IFERROR(VLOOKUP(B209,TABLA1!$B$14:$BF$1596,32,FALSE),)</f>
        <v>0</v>
      </c>
      <c r="K215" s="16">
        <f>IFERROR(VLOOKUP(B209,TABLA1!$B$14:$BF$1596,44,FALSE),)</f>
        <v>0</v>
      </c>
      <c r="L215" s="13" t="str">
        <f>IFERROR(VLOOKUP(B210,TABLA1!$B$14:$BF$1596,32,FALSE),"-")</f>
        <v>-</v>
      </c>
      <c r="M215" s="13" t="str">
        <f>IFERROR(VLOOKUP(B210,TABLA1!$B$14:$BF$1596,44,FALSE),"-")</f>
        <v>-</v>
      </c>
      <c r="N215" s="3">
        <v>54</v>
      </c>
      <c r="O215" s="3">
        <v>63</v>
      </c>
      <c r="P215" s="3">
        <f t="shared" si="34"/>
        <v>29</v>
      </c>
      <c r="Q215" s="3">
        <f t="shared" si="35"/>
        <v>38</v>
      </c>
    </row>
    <row r="216" spans="2:17" x14ac:dyDescent="0.25">
      <c r="C216" s="88"/>
      <c r="D216" s="88"/>
      <c r="E216" s="88"/>
      <c r="F216" s="88"/>
      <c r="G216" s="88"/>
      <c r="H216" s="88"/>
      <c r="I216" s="20" t="s">
        <v>50</v>
      </c>
      <c r="J216" s="16">
        <f>IFERROR(VLOOKUP(B209,TABLA1!$B$14:$BF$1596,35,FALSE),)</f>
        <v>0</v>
      </c>
      <c r="K216" s="16">
        <f>IFERROR(VLOOKUP(B209,TABLA1!$B$14:$BF$1596,47,FALSE),)</f>
        <v>0</v>
      </c>
      <c r="L216" s="13" t="str">
        <f>IFERROR(VLOOKUP(B210,TABLA1!$B$14:$BF$1596,35,FALSE),"-")</f>
        <v>-</v>
      </c>
      <c r="M216" s="13" t="str">
        <f>IFERROR(VLOOKUP(B210,TABLA1!$B$14:$BF$1596,47,FALSE),"-")</f>
        <v>-</v>
      </c>
      <c r="N216" s="3">
        <v>56</v>
      </c>
      <c r="O216" s="3">
        <v>65</v>
      </c>
      <c r="P216" s="3">
        <f t="shared" si="34"/>
        <v>31</v>
      </c>
      <c r="Q216" s="3">
        <f t="shared" si="35"/>
        <v>40</v>
      </c>
    </row>
    <row r="217" spans="2:17" x14ac:dyDescent="0.25">
      <c r="C217" s="88"/>
      <c r="D217" s="88"/>
      <c r="E217" s="88"/>
      <c r="F217" s="88"/>
      <c r="G217" s="88"/>
      <c r="H217" s="88"/>
      <c r="I217" s="20" t="s">
        <v>51</v>
      </c>
      <c r="J217" s="16">
        <f>IFERROR(VLOOKUP(B209,TABLA1!$B$14:$BF$1596,34,FALSE),)</f>
        <v>0</v>
      </c>
      <c r="K217" s="16">
        <f>IFERROR(VLOOKUP(B209,TABLA1!$B$14:$BF$1596,46,FALSE),)</f>
        <v>0</v>
      </c>
      <c r="L217" s="13" t="str">
        <f>IFERROR(VLOOKUP(B210,TABLA1!$B$14:$BF$1596,34,FALSE),"-")</f>
        <v>-</v>
      </c>
      <c r="M217" s="13" t="str">
        <f>IFERROR(VLOOKUP(B210,TABLA1!$B$14:$BF$1596,46,FALSE),"-")</f>
        <v>-</v>
      </c>
      <c r="N217" s="3">
        <v>57</v>
      </c>
      <c r="O217" s="3">
        <v>66</v>
      </c>
      <c r="P217" s="3">
        <f t="shared" si="34"/>
        <v>32</v>
      </c>
      <c r="Q217" s="3">
        <f t="shared" si="35"/>
        <v>41</v>
      </c>
    </row>
    <row r="218" spans="2:17" x14ac:dyDescent="0.25">
      <c r="C218" s="88"/>
      <c r="D218" s="88"/>
      <c r="E218" s="88"/>
      <c r="F218" s="88"/>
      <c r="G218" s="88"/>
      <c r="H218" s="88"/>
      <c r="I218" s="20" t="s">
        <v>34</v>
      </c>
      <c r="J218" s="16">
        <f>IFERROR(VLOOKUP(B209,TABLA1!$B$14:$BF$1596,36,FALSE),)</f>
        <v>0</v>
      </c>
      <c r="K218" s="16">
        <f>IFERROR(VLOOKUP(B209,TABLA1!$B$14:$BF$1596,48,FALSE),)</f>
        <v>0</v>
      </c>
      <c r="L218" s="13" t="str">
        <f>IFERROR(VLOOKUP(B210,TABLA1!$B$14:$BF$1596,36,FALSE),"-")</f>
        <v>-</v>
      </c>
      <c r="M218" s="13" t="str">
        <f>IFERROR(VLOOKUP(B210,TABLA1!$B$14:$BF$1596,48,FALSE),"-")</f>
        <v>-</v>
      </c>
      <c r="N218" s="3">
        <v>59</v>
      </c>
      <c r="O218" s="3">
        <v>68</v>
      </c>
      <c r="P218" s="3">
        <f t="shared" si="34"/>
        <v>34</v>
      </c>
      <c r="Q218" s="3">
        <f t="shared" si="35"/>
        <v>43</v>
      </c>
    </row>
    <row r="219" spans="2:17" x14ac:dyDescent="0.25">
      <c r="C219" s="88"/>
      <c r="D219" s="88"/>
      <c r="E219" s="88"/>
      <c r="F219" s="88"/>
      <c r="G219" s="88"/>
      <c r="H219" s="88"/>
      <c r="I219" s="20" t="s">
        <v>35</v>
      </c>
      <c r="J219" s="16"/>
      <c r="K219" s="16"/>
      <c r="L219" s="13"/>
      <c r="M219" s="13"/>
    </row>
    <row r="220" spans="2:17" x14ac:dyDescent="0.25">
      <c r="C220" s="88"/>
      <c r="D220" s="88"/>
      <c r="E220" s="88"/>
      <c r="F220" s="88"/>
      <c r="G220" s="88"/>
      <c r="H220" s="88"/>
      <c r="I220" s="20" t="s">
        <v>36</v>
      </c>
      <c r="J220" s="13"/>
      <c r="K220" s="13"/>
      <c r="L220" s="13"/>
      <c r="M220" s="13"/>
    </row>
    <row r="221" spans="2:17" x14ac:dyDescent="0.25">
      <c r="B221" s="3">
        <f>TABLA1!B30</f>
        <v>0</v>
      </c>
      <c r="C221" s="88" t="e">
        <f>VLOOKUP(B221,TABLA1!$B$14:$BF$1596,2,FALSE)</f>
        <v>#N/A</v>
      </c>
      <c r="D221" s="88" t="e">
        <f>VLOOKUP(B221,TABLA1!$B$14:$BF$1596,3,FALSE)</f>
        <v>#N/A</v>
      </c>
      <c r="E221" s="88" t="e">
        <f>VLOOKUP(B221,TABLA1!$B$14:$BF$1596,4,FALSE)&amp;"/"&amp;VLOOKUP(B221,TABLA1!$B$14:$BF$1596,5,FALSE)</f>
        <v>#N/A</v>
      </c>
      <c r="F221" s="88" t="e">
        <f>VLOOKUP(B221,TABLA1!$B$14:$BF$1596,7,FALSE)</f>
        <v>#N/A</v>
      </c>
      <c r="G221" s="88"/>
      <c r="H221" s="88"/>
      <c r="I221" s="20" t="s">
        <v>46</v>
      </c>
      <c r="J221" s="16" t="str">
        <f>IFERROR(VLOOKUP(B221,TABLA1!$B$14:$BF$1596,27,FALSE),"")</f>
        <v/>
      </c>
      <c r="K221" s="16">
        <f>IFERROR(VLOOKUP(B221,TABLA1!$B$14:$BF$1596,39,FALSE),)</f>
        <v>0</v>
      </c>
      <c r="L221" s="13" t="str">
        <f>IFERROR(VLOOKUP(B222,TABLA1!$B$14:$BF$1596,27,FALSE),"-")</f>
        <v>-</v>
      </c>
      <c r="M221" s="13" t="str">
        <f>IFERROR(VLOOKUP(B222,TABLA1!$B$14:$BF$1596,39,FALSE),"-")</f>
        <v>-</v>
      </c>
      <c r="N221" s="3">
        <v>51</v>
      </c>
      <c r="O221" s="3">
        <v>60</v>
      </c>
      <c r="P221" s="3">
        <f>N221-25</f>
        <v>26</v>
      </c>
      <c r="Q221" s="3">
        <f>O221-25</f>
        <v>35</v>
      </c>
    </row>
    <row r="222" spans="2:17" x14ac:dyDescent="0.25">
      <c r="C222" s="88"/>
      <c r="D222" s="88"/>
      <c r="E222" s="88"/>
      <c r="F222" s="88"/>
      <c r="G222" s="88"/>
      <c r="H222" s="88"/>
      <c r="I222" s="20" t="s">
        <v>47</v>
      </c>
      <c r="J222" s="13">
        <f>IFERROR(VLOOKUP(B221,TABLA1!$B$14:$BF$1596,26,FALSE),)</f>
        <v>0</v>
      </c>
      <c r="K222" s="13">
        <f>IFERROR(VLOOKUP(B221,TABLA1!$B$14:$BF$1596,38,FALSE),)</f>
        <v>0</v>
      </c>
      <c r="L222" s="13" t="str">
        <f>IFERROR(VLOOKUP(B222,TABLA1!$B$14:$BF$1596,26,FALSE),"-")</f>
        <v>-</v>
      </c>
      <c r="M222" s="13" t="str">
        <f>IFERROR(VLOOKUP(B222,TABLA1!$B$14:$BF$1596,38,FALSE),"-")</f>
        <v>-</v>
      </c>
      <c r="N222" s="3">
        <v>52</v>
      </c>
      <c r="O222" s="3">
        <v>61</v>
      </c>
      <c r="P222" s="3">
        <f t="shared" ref="P222:P230" si="36">N222-25</f>
        <v>27</v>
      </c>
      <c r="Q222" s="3">
        <f t="shared" ref="Q222:Q230" si="37">O222-25</f>
        <v>36</v>
      </c>
    </row>
    <row r="223" spans="2:17" x14ac:dyDescent="0.25">
      <c r="C223" s="88"/>
      <c r="D223" s="88"/>
      <c r="E223" s="88"/>
      <c r="F223" s="88"/>
      <c r="G223" s="88"/>
      <c r="H223" s="88"/>
      <c r="I223" s="20" t="s">
        <v>10</v>
      </c>
      <c r="J223" s="16">
        <f>IFERROR(VLOOKUP(B221,TABLA1!$B$14:$BF$1596,28,FALSE),)</f>
        <v>0</v>
      </c>
      <c r="K223" s="16">
        <f>IFERROR(VLOOKUP(B221,TABLA1!$B$14:$BF$1596,40,FALSE),)</f>
        <v>0</v>
      </c>
      <c r="L223" s="13" t="str">
        <f>IFERROR(VLOOKUP(B222,TABLA1!$B$14:$BF$1596,28,FALSE),"-")</f>
        <v>-</v>
      </c>
      <c r="M223" s="13" t="str">
        <f>IFERROR(VLOOKUP(B222,TABLA1!$B$14:$BF$1596,40,FALSE),"-")</f>
        <v>-</v>
      </c>
      <c r="N223" s="3">
        <v>53</v>
      </c>
      <c r="O223" s="3">
        <v>62</v>
      </c>
      <c r="P223" s="3">
        <f t="shared" si="36"/>
        <v>28</v>
      </c>
      <c r="Q223" s="3">
        <f t="shared" si="37"/>
        <v>37</v>
      </c>
    </row>
    <row r="224" spans="2:17" x14ac:dyDescent="0.25">
      <c r="C224" s="88"/>
      <c r="D224" s="88"/>
      <c r="E224" s="88"/>
      <c r="F224" s="88"/>
      <c r="G224" s="88"/>
      <c r="H224" s="88"/>
      <c r="I224" s="20" t="s">
        <v>11</v>
      </c>
      <c r="J224" s="13">
        <f>IFERROR(VLOOKUP(B221,TABLA1!$B$14:$BF$1596,29,FALSE),)</f>
        <v>0</v>
      </c>
      <c r="K224" s="13">
        <f>IFERROR(VLOOKUP(B221,TABLA1!$B$14:$BF$1596,41,FALSE),)</f>
        <v>0</v>
      </c>
      <c r="L224" s="13" t="str">
        <f>IFERROR(VLOOKUP(B222,TABLA1!$B$14:$BF$1596,29,FALSE),"-")</f>
        <v>-</v>
      </c>
      <c r="M224" s="13" t="str">
        <f>IFERROR(VLOOKUP(B222,TABLA1!$B$14:$BF$1596,41,FALSE),"-")</f>
        <v>-</v>
      </c>
    </row>
    <row r="225" spans="2:17" x14ac:dyDescent="0.25">
      <c r="C225" s="88"/>
      <c r="D225" s="88"/>
      <c r="E225" s="88"/>
      <c r="F225" s="88"/>
      <c r="G225" s="88"/>
      <c r="H225" s="88"/>
      <c r="I225" s="20" t="s">
        <v>48</v>
      </c>
      <c r="J225" s="16">
        <f>IFERROR(VLOOKUP(B221,TABLA1!$B$14:$BF$1596,31,FALSE),)</f>
        <v>0</v>
      </c>
      <c r="K225" s="16">
        <f>IFERROR(VLOOKUP(B221,TABLA1!$B$14:$BF$1596,43,FALSE),)</f>
        <v>0</v>
      </c>
      <c r="L225" s="13" t="str">
        <f>IFERROR(VLOOKUP(B222,TABLA1!$B$14:$BF$1596,31,FALSE),"-")</f>
        <v>-</v>
      </c>
      <c r="M225" s="13" t="str">
        <f>IFERROR(VLOOKUP(B222,TABLA1!$B$14:$BF$1596,43,FALSE),"-")</f>
        <v>-</v>
      </c>
    </row>
    <row r="226" spans="2:17" x14ac:dyDescent="0.25">
      <c r="C226" s="88"/>
      <c r="D226" s="88"/>
      <c r="E226" s="88"/>
      <c r="F226" s="88"/>
      <c r="G226" s="88"/>
      <c r="H226" s="88"/>
      <c r="I226" s="20" t="s">
        <v>49</v>
      </c>
      <c r="J226" s="16">
        <f>IFERROR(VLOOKUP(B221,TABLA1!$B$14:$BF$1596,30,FALSE),)</f>
        <v>0</v>
      </c>
      <c r="K226" s="16">
        <f>IFERROR(VLOOKUP(B221,TABLA1!$B$14:$BF$1596,42,FALSE),)</f>
        <v>0</v>
      </c>
      <c r="L226" s="13" t="str">
        <f>IFERROR(VLOOKUP(B222,TABLA1!$B$14:$BF$1596,30,FALSE),"-")</f>
        <v>-</v>
      </c>
      <c r="M226" s="13" t="str">
        <f>IFERROR(VLOOKUP(B222,TABLA1!$B$14:$BF$1596,42,FALSE),"-")</f>
        <v>-</v>
      </c>
    </row>
    <row r="227" spans="2:17" x14ac:dyDescent="0.25">
      <c r="C227" s="88"/>
      <c r="D227" s="88"/>
      <c r="E227" s="88"/>
      <c r="F227" s="88"/>
      <c r="G227" s="88"/>
      <c r="H227" s="88"/>
      <c r="I227" s="20" t="s">
        <v>33</v>
      </c>
      <c r="J227" s="16">
        <f>IFERROR(VLOOKUP(B221,TABLA1!$B$14:$BF$1596,32,FALSE),)</f>
        <v>0</v>
      </c>
      <c r="K227" s="16">
        <f>IFERROR(VLOOKUP(B221,TABLA1!$B$14:$BF$1596,44,FALSE),)</f>
        <v>0</v>
      </c>
      <c r="L227" s="13" t="str">
        <f>IFERROR(VLOOKUP(B222,TABLA1!$B$14:$BF$1596,32,FALSE),"-")</f>
        <v>-</v>
      </c>
      <c r="M227" s="13" t="str">
        <f>IFERROR(VLOOKUP(B222,TABLA1!$B$14:$BF$1596,44,FALSE),"-")</f>
        <v>-</v>
      </c>
      <c r="N227" s="3">
        <v>54</v>
      </c>
      <c r="O227" s="3">
        <v>63</v>
      </c>
      <c r="P227" s="3">
        <f t="shared" si="36"/>
        <v>29</v>
      </c>
      <c r="Q227" s="3">
        <f t="shared" si="37"/>
        <v>38</v>
      </c>
    </row>
    <row r="228" spans="2:17" x14ac:dyDescent="0.25">
      <c r="C228" s="88"/>
      <c r="D228" s="88"/>
      <c r="E228" s="88"/>
      <c r="F228" s="88"/>
      <c r="G228" s="88"/>
      <c r="H228" s="88"/>
      <c r="I228" s="20" t="s">
        <v>50</v>
      </c>
      <c r="J228" s="16">
        <f>IFERROR(VLOOKUP(B221,TABLA1!$B$14:$BF$1596,35,FALSE),)</f>
        <v>0</v>
      </c>
      <c r="K228" s="16">
        <f>IFERROR(VLOOKUP(B221,TABLA1!$B$14:$BF$1596,47,FALSE),)</f>
        <v>0</v>
      </c>
      <c r="L228" s="13" t="str">
        <f>IFERROR(VLOOKUP(B222,TABLA1!$B$14:$BF$1596,35,FALSE),"-")</f>
        <v>-</v>
      </c>
      <c r="M228" s="13" t="str">
        <f>IFERROR(VLOOKUP(B222,TABLA1!$B$14:$BF$1596,47,FALSE),"-")</f>
        <v>-</v>
      </c>
      <c r="N228" s="3">
        <v>56</v>
      </c>
      <c r="O228" s="3">
        <v>65</v>
      </c>
      <c r="P228" s="3">
        <f t="shared" si="36"/>
        <v>31</v>
      </c>
      <c r="Q228" s="3">
        <f t="shared" si="37"/>
        <v>40</v>
      </c>
    </row>
    <row r="229" spans="2:17" x14ac:dyDescent="0.25">
      <c r="C229" s="88"/>
      <c r="D229" s="88"/>
      <c r="E229" s="88"/>
      <c r="F229" s="88"/>
      <c r="G229" s="88"/>
      <c r="H229" s="88"/>
      <c r="I229" s="20" t="s">
        <v>51</v>
      </c>
      <c r="J229" s="16">
        <f>IFERROR(VLOOKUP(B221,TABLA1!$B$14:$BF$1596,34,FALSE),)</f>
        <v>0</v>
      </c>
      <c r="K229" s="16">
        <f>IFERROR(VLOOKUP(B221,TABLA1!$B$14:$BF$1596,46,FALSE),)</f>
        <v>0</v>
      </c>
      <c r="L229" s="13" t="str">
        <f>IFERROR(VLOOKUP(B222,TABLA1!$B$14:$BF$1596,34,FALSE),"-")</f>
        <v>-</v>
      </c>
      <c r="M229" s="13" t="str">
        <f>IFERROR(VLOOKUP(B222,TABLA1!$B$14:$BF$1596,46,FALSE),"-")</f>
        <v>-</v>
      </c>
      <c r="N229" s="3">
        <v>57</v>
      </c>
      <c r="O229" s="3">
        <v>66</v>
      </c>
      <c r="P229" s="3">
        <f t="shared" si="36"/>
        <v>32</v>
      </c>
      <c r="Q229" s="3">
        <f t="shared" si="37"/>
        <v>41</v>
      </c>
    </row>
    <row r="230" spans="2:17" x14ac:dyDescent="0.25">
      <c r="C230" s="88"/>
      <c r="D230" s="88"/>
      <c r="E230" s="88"/>
      <c r="F230" s="88"/>
      <c r="G230" s="88"/>
      <c r="H230" s="88"/>
      <c r="I230" s="20" t="s">
        <v>34</v>
      </c>
      <c r="J230" s="16">
        <f>IFERROR(VLOOKUP(B221,TABLA1!$B$14:$BF$1596,36,FALSE),)</f>
        <v>0</v>
      </c>
      <c r="K230" s="16">
        <f>IFERROR(VLOOKUP(B221,TABLA1!$B$14:$BF$1596,48,FALSE),)</f>
        <v>0</v>
      </c>
      <c r="L230" s="13" t="str">
        <f>IFERROR(VLOOKUP(B222,TABLA1!$B$14:$BF$1596,36,FALSE),"-")</f>
        <v>-</v>
      </c>
      <c r="M230" s="13" t="str">
        <f>IFERROR(VLOOKUP(B222,TABLA1!$B$14:$BF$1596,48,FALSE),"-")</f>
        <v>-</v>
      </c>
      <c r="N230" s="3">
        <v>59</v>
      </c>
      <c r="O230" s="3">
        <v>68</v>
      </c>
      <c r="P230" s="3">
        <f t="shared" si="36"/>
        <v>34</v>
      </c>
      <c r="Q230" s="3">
        <f t="shared" si="37"/>
        <v>43</v>
      </c>
    </row>
    <row r="231" spans="2:17" x14ac:dyDescent="0.25">
      <c r="C231" s="88"/>
      <c r="D231" s="88"/>
      <c r="E231" s="88"/>
      <c r="F231" s="88"/>
      <c r="G231" s="88"/>
      <c r="H231" s="88"/>
      <c r="I231" s="20" t="s">
        <v>35</v>
      </c>
      <c r="J231" s="16"/>
      <c r="K231" s="16"/>
      <c r="L231" s="13"/>
      <c r="M231" s="13"/>
    </row>
    <row r="232" spans="2:17" x14ac:dyDescent="0.25">
      <c r="C232" s="88"/>
      <c r="D232" s="88"/>
      <c r="E232" s="88"/>
      <c r="F232" s="88"/>
      <c r="G232" s="88"/>
      <c r="H232" s="88"/>
      <c r="I232" s="20" t="s">
        <v>36</v>
      </c>
      <c r="J232" s="13"/>
      <c r="K232" s="13"/>
      <c r="L232" s="13"/>
      <c r="M232" s="13"/>
    </row>
    <row r="233" spans="2:17" x14ac:dyDescent="0.25">
      <c r="B233" s="3">
        <f>TABLA1!B31</f>
        <v>0</v>
      </c>
      <c r="C233" s="88" t="e">
        <f>VLOOKUP(B233,TABLA1!$B$14:$BF$1596,2,FALSE)</f>
        <v>#N/A</v>
      </c>
      <c r="D233" s="88" t="e">
        <f>VLOOKUP(B233,TABLA1!$B$14:$BF$1596,3,FALSE)</f>
        <v>#N/A</v>
      </c>
      <c r="E233" s="88" t="e">
        <f>VLOOKUP(B233,TABLA1!$B$14:$BF$1596,4,FALSE)&amp;"/"&amp;VLOOKUP(B233,TABLA1!$B$14:$BF$1596,5,FALSE)</f>
        <v>#N/A</v>
      </c>
      <c r="F233" s="88" t="e">
        <f>VLOOKUP(B233,TABLA1!$B$14:$BF$1596,7,FALSE)</f>
        <v>#N/A</v>
      </c>
      <c r="G233" s="88"/>
      <c r="H233" s="88"/>
      <c r="I233" s="20" t="s">
        <v>46</v>
      </c>
      <c r="J233" s="16" t="str">
        <f>IFERROR(VLOOKUP(B233,TABLA1!$B$14:$BF$1596,27,FALSE),"")</f>
        <v/>
      </c>
      <c r="K233" s="16">
        <f>IFERROR(VLOOKUP(B233,TABLA1!$B$14:$BF$1596,39,FALSE),)</f>
        <v>0</v>
      </c>
      <c r="L233" s="13" t="str">
        <f>IFERROR(VLOOKUP(B234,TABLA1!$B$14:$BF$1596,27,FALSE),"-")</f>
        <v>-</v>
      </c>
      <c r="M233" s="13" t="str">
        <f>IFERROR(VLOOKUP(B234,TABLA1!$B$14:$BF$1596,39,FALSE),"-")</f>
        <v>-</v>
      </c>
      <c r="N233" s="3">
        <v>51</v>
      </c>
      <c r="O233" s="3">
        <v>60</v>
      </c>
      <c r="P233" s="3">
        <f>N233-25</f>
        <v>26</v>
      </c>
      <c r="Q233" s="3">
        <f>O233-25</f>
        <v>35</v>
      </c>
    </row>
    <row r="234" spans="2:17" x14ac:dyDescent="0.25">
      <c r="C234" s="88"/>
      <c r="D234" s="88"/>
      <c r="E234" s="88"/>
      <c r="F234" s="88"/>
      <c r="G234" s="88"/>
      <c r="H234" s="88"/>
      <c r="I234" s="20" t="s">
        <v>47</v>
      </c>
      <c r="J234" s="13">
        <f>IFERROR(VLOOKUP(B233,TABLA1!$B$14:$BF$1596,26,FALSE),)</f>
        <v>0</v>
      </c>
      <c r="K234" s="13">
        <f>IFERROR(VLOOKUP(B233,TABLA1!$B$14:$BF$1596,38,FALSE),)</f>
        <v>0</v>
      </c>
      <c r="L234" s="13" t="str">
        <f>IFERROR(VLOOKUP(B234,TABLA1!$B$14:$BF$1596,26,FALSE),"-")</f>
        <v>-</v>
      </c>
      <c r="M234" s="13" t="str">
        <f>IFERROR(VLOOKUP(B234,TABLA1!$B$14:$BF$1596,38,FALSE),"-")</f>
        <v>-</v>
      </c>
      <c r="N234" s="3">
        <v>52</v>
      </c>
      <c r="O234" s="3">
        <v>61</v>
      </c>
      <c r="P234" s="3">
        <f t="shared" ref="P234:P242" si="38">N234-25</f>
        <v>27</v>
      </c>
      <c r="Q234" s="3">
        <f t="shared" ref="Q234:Q242" si="39">O234-25</f>
        <v>36</v>
      </c>
    </row>
    <row r="235" spans="2:17" x14ac:dyDescent="0.25">
      <c r="C235" s="88"/>
      <c r="D235" s="88"/>
      <c r="E235" s="88"/>
      <c r="F235" s="88"/>
      <c r="G235" s="88"/>
      <c r="H235" s="88"/>
      <c r="I235" s="20" t="s">
        <v>10</v>
      </c>
      <c r="J235" s="16">
        <f>IFERROR(VLOOKUP(B233,TABLA1!$B$14:$BF$1596,28,FALSE),)</f>
        <v>0</v>
      </c>
      <c r="K235" s="16">
        <f>IFERROR(VLOOKUP(B233,TABLA1!$B$14:$BF$1596,40,FALSE),)</f>
        <v>0</v>
      </c>
      <c r="L235" s="13" t="str">
        <f>IFERROR(VLOOKUP(B234,TABLA1!$B$14:$BF$1596,28,FALSE),"-")</f>
        <v>-</v>
      </c>
      <c r="M235" s="13" t="str">
        <f>IFERROR(VLOOKUP(B234,TABLA1!$B$14:$BF$1596,40,FALSE),"-")</f>
        <v>-</v>
      </c>
    </row>
    <row r="236" spans="2:17" x14ac:dyDescent="0.25">
      <c r="C236" s="88"/>
      <c r="D236" s="88"/>
      <c r="E236" s="88"/>
      <c r="F236" s="88"/>
      <c r="G236" s="88"/>
      <c r="H236" s="88"/>
      <c r="I236" s="20" t="s">
        <v>11</v>
      </c>
      <c r="J236" s="13">
        <f>IFERROR(VLOOKUP(B233,TABLA1!$B$14:$BF$1596,29,FALSE),)</f>
        <v>0</v>
      </c>
      <c r="K236" s="13">
        <f>IFERROR(VLOOKUP(B233,TABLA1!$B$14:$BF$1596,41,FALSE),)</f>
        <v>0</v>
      </c>
      <c r="L236" s="13" t="str">
        <f>IFERROR(VLOOKUP(B234,TABLA1!$B$14:$BF$1596,29,FALSE),"-")</f>
        <v>-</v>
      </c>
      <c r="M236" s="13" t="str">
        <f>IFERROR(VLOOKUP(B234,TABLA1!$B$14:$BF$1596,41,FALSE),"-")</f>
        <v>-</v>
      </c>
    </row>
    <row r="237" spans="2:17" x14ac:dyDescent="0.25">
      <c r="C237" s="88"/>
      <c r="D237" s="88"/>
      <c r="E237" s="88"/>
      <c r="F237" s="88"/>
      <c r="G237" s="88"/>
      <c r="H237" s="88"/>
      <c r="I237" s="20" t="s">
        <v>48</v>
      </c>
      <c r="J237" s="16">
        <f>IFERROR(VLOOKUP(B233,TABLA1!$B$14:$BF$1596,31,FALSE),)</f>
        <v>0</v>
      </c>
      <c r="K237" s="16">
        <f>IFERROR(VLOOKUP(B233,TABLA1!$B$14:$BF$1596,43,FALSE),)</f>
        <v>0</v>
      </c>
      <c r="L237" s="13" t="str">
        <f>IFERROR(VLOOKUP(B234,TABLA1!$B$14:$BF$1596,31,FALSE),"-")</f>
        <v>-</v>
      </c>
      <c r="M237" s="13" t="str">
        <f>IFERROR(VLOOKUP(B234,TABLA1!$B$14:$BF$1596,43,FALSE),"-")</f>
        <v>-</v>
      </c>
    </row>
    <row r="238" spans="2:17" x14ac:dyDescent="0.25">
      <c r="C238" s="88"/>
      <c r="D238" s="88"/>
      <c r="E238" s="88"/>
      <c r="F238" s="88"/>
      <c r="G238" s="88"/>
      <c r="H238" s="88"/>
      <c r="I238" s="20" t="s">
        <v>49</v>
      </c>
      <c r="J238" s="16">
        <f>IFERROR(VLOOKUP(B233,TABLA1!$B$14:$BF$1596,30,FALSE),)</f>
        <v>0</v>
      </c>
      <c r="K238" s="16">
        <f>IFERROR(VLOOKUP(B233,TABLA1!$B$14:$BF$1596,42,FALSE),)</f>
        <v>0</v>
      </c>
      <c r="L238" s="13" t="str">
        <f>IFERROR(VLOOKUP(B234,TABLA1!$B$14:$BF$1596,30,FALSE),"-")</f>
        <v>-</v>
      </c>
      <c r="M238" s="13" t="str">
        <f>IFERROR(VLOOKUP(B234,TABLA1!$B$14:$BF$1596,42,FALSE),"-")</f>
        <v>-</v>
      </c>
      <c r="N238" s="3">
        <v>53</v>
      </c>
      <c r="O238" s="3">
        <v>62</v>
      </c>
      <c r="P238" s="3">
        <f t="shared" si="38"/>
        <v>28</v>
      </c>
      <c r="Q238" s="3">
        <f t="shared" si="39"/>
        <v>37</v>
      </c>
    </row>
    <row r="239" spans="2:17" x14ac:dyDescent="0.25">
      <c r="C239" s="88"/>
      <c r="D239" s="88"/>
      <c r="E239" s="88"/>
      <c r="F239" s="88"/>
      <c r="G239" s="88"/>
      <c r="H239" s="88"/>
      <c r="I239" s="20" t="s">
        <v>33</v>
      </c>
      <c r="J239" s="16">
        <f>IFERROR(VLOOKUP(B233,TABLA1!$B$14:$BF$1596,32,FALSE),)</f>
        <v>0</v>
      </c>
      <c r="K239" s="16">
        <f>IFERROR(VLOOKUP(B233,TABLA1!$B$14:$BF$1596,44,FALSE),)</f>
        <v>0</v>
      </c>
      <c r="L239" s="13" t="str">
        <f>IFERROR(VLOOKUP(B234,TABLA1!$B$14:$BF$1596,32,FALSE),"-")</f>
        <v>-</v>
      </c>
      <c r="M239" s="13" t="str">
        <f>IFERROR(VLOOKUP(B234,TABLA1!$B$14:$BF$1596,44,FALSE),"-")</f>
        <v>-</v>
      </c>
      <c r="N239" s="3">
        <v>54</v>
      </c>
      <c r="O239" s="3">
        <v>63</v>
      </c>
      <c r="P239" s="3">
        <f t="shared" si="38"/>
        <v>29</v>
      </c>
      <c r="Q239" s="3">
        <f t="shared" si="39"/>
        <v>38</v>
      </c>
    </row>
    <row r="240" spans="2:17" x14ac:dyDescent="0.25">
      <c r="C240" s="88"/>
      <c r="D240" s="88"/>
      <c r="E240" s="88"/>
      <c r="F240" s="88"/>
      <c r="G240" s="88"/>
      <c r="H240" s="88"/>
      <c r="I240" s="20" t="s">
        <v>50</v>
      </c>
      <c r="J240" s="16">
        <f>IFERROR(VLOOKUP(B233,TABLA1!$B$14:$BF$1596,35,FALSE),)</f>
        <v>0</v>
      </c>
      <c r="K240" s="16">
        <f>IFERROR(VLOOKUP(B233,TABLA1!$B$14:$BF$1596,47,FALSE),)</f>
        <v>0</v>
      </c>
      <c r="L240" s="13" t="str">
        <f>IFERROR(VLOOKUP(B234,TABLA1!$B$14:$BF$1596,35,FALSE),"-")</f>
        <v>-</v>
      </c>
      <c r="M240" s="13" t="str">
        <f>IFERROR(VLOOKUP(B234,TABLA1!$B$14:$BF$1596,47,FALSE),"-")</f>
        <v>-</v>
      </c>
      <c r="N240" s="3">
        <v>56</v>
      </c>
      <c r="O240" s="3">
        <v>65</v>
      </c>
      <c r="P240" s="3">
        <f t="shared" si="38"/>
        <v>31</v>
      </c>
      <c r="Q240" s="3">
        <f t="shared" si="39"/>
        <v>40</v>
      </c>
    </row>
    <row r="241" spans="2:17" x14ac:dyDescent="0.25">
      <c r="C241" s="88"/>
      <c r="D241" s="88"/>
      <c r="E241" s="88"/>
      <c r="F241" s="88"/>
      <c r="G241" s="88"/>
      <c r="H241" s="88"/>
      <c r="I241" s="20" t="s">
        <v>51</v>
      </c>
      <c r="J241" s="16">
        <f>IFERROR(VLOOKUP(B233,TABLA1!$B$14:$BF$1596,34,FALSE),)</f>
        <v>0</v>
      </c>
      <c r="K241" s="16">
        <f>IFERROR(VLOOKUP(B233,TABLA1!$B$14:$BF$1596,46,FALSE),)</f>
        <v>0</v>
      </c>
      <c r="L241" s="13" t="str">
        <f>IFERROR(VLOOKUP(B234,TABLA1!$B$14:$BF$1596,34,FALSE),"-")</f>
        <v>-</v>
      </c>
      <c r="M241" s="13" t="str">
        <f>IFERROR(VLOOKUP(B234,TABLA1!$B$14:$BF$1596,46,FALSE),"-")</f>
        <v>-</v>
      </c>
      <c r="N241" s="3">
        <v>57</v>
      </c>
      <c r="O241" s="3">
        <v>66</v>
      </c>
      <c r="P241" s="3">
        <f t="shared" si="38"/>
        <v>32</v>
      </c>
      <c r="Q241" s="3">
        <f t="shared" si="39"/>
        <v>41</v>
      </c>
    </row>
    <row r="242" spans="2:17" x14ac:dyDescent="0.25">
      <c r="C242" s="88"/>
      <c r="D242" s="88"/>
      <c r="E242" s="88"/>
      <c r="F242" s="88"/>
      <c r="G242" s="88"/>
      <c r="H242" s="88"/>
      <c r="I242" s="20" t="s">
        <v>34</v>
      </c>
      <c r="J242" s="16">
        <f>IFERROR(VLOOKUP(B233,TABLA1!$B$14:$BF$1596,36,FALSE),)</f>
        <v>0</v>
      </c>
      <c r="K242" s="16">
        <f>IFERROR(VLOOKUP(B233,TABLA1!$B$14:$BF$1596,48,FALSE),)</f>
        <v>0</v>
      </c>
      <c r="L242" s="13" t="str">
        <f>IFERROR(VLOOKUP(B234,TABLA1!$B$14:$BF$1596,36,FALSE),"-")</f>
        <v>-</v>
      </c>
      <c r="M242" s="13" t="str">
        <f>IFERROR(VLOOKUP(B234,TABLA1!$B$14:$BF$1596,48,FALSE),"-")</f>
        <v>-</v>
      </c>
      <c r="N242" s="3">
        <v>59</v>
      </c>
      <c r="O242" s="3">
        <v>68</v>
      </c>
      <c r="P242" s="3">
        <f t="shared" si="38"/>
        <v>34</v>
      </c>
      <c r="Q242" s="3">
        <f t="shared" si="39"/>
        <v>43</v>
      </c>
    </row>
    <row r="243" spans="2:17" x14ac:dyDescent="0.25">
      <c r="C243" s="88"/>
      <c r="D243" s="88"/>
      <c r="E243" s="88"/>
      <c r="F243" s="88"/>
      <c r="G243" s="88"/>
      <c r="H243" s="88"/>
      <c r="I243" s="20" t="s">
        <v>35</v>
      </c>
      <c r="J243" s="16"/>
      <c r="K243" s="16"/>
      <c r="L243" s="13"/>
      <c r="M243" s="13"/>
    </row>
    <row r="244" spans="2:17" x14ac:dyDescent="0.25">
      <c r="C244" s="88"/>
      <c r="D244" s="88"/>
      <c r="E244" s="88"/>
      <c r="F244" s="88"/>
      <c r="G244" s="88"/>
      <c r="H244" s="88"/>
      <c r="I244" s="20" t="s">
        <v>36</v>
      </c>
      <c r="J244" s="13"/>
      <c r="K244" s="13"/>
      <c r="L244" s="13"/>
      <c r="M244" s="13"/>
    </row>
    <row r="245" spans="2:17" x14ac:dyDescent="0.25">
      <c r="B245" s="3">
        <f>TABLA1!B32</f>
        <v>0</v>
      </c>
      <c r="C245" s="88" t="e">
        <f>VLOOKUP(B245,TABLA1!$B$14:$BF$1596,2,FALSE)</f>
        <v>#N/A</v>
      </c>
      <c r="D245" s="88" t="e">
        <f>VLOOKUP(B245,TABLA1!$B$14:$BF$1596,3,FALSE)</f>
        <v>#N/A</v>
      </c>
      <c r="E245" s="88" t="e">
        <f>VLOOKUP(B245,TABLA1!$B$14:$BF$1596,4,FALSE)&amp;"/"&amp;VLOOKUP(B245,TABLA1!$B$14:$BF$1596,5,FALSE)</f>
        <v>#N/A</v>
      </c>
      <c r="F245" s="88" t="e">
        <f>VLOOKUP(B245,TABLA1!$B$14:$BF$1596,7,FALSE)</f>
        <v>#N/A</v>
      </c>
      <c r="G245" s="88"/>
      <c r="H245" s="88"/>
      <c r="I245" s="20" t="s">
        <v>46</v>
      </c>
      <c r="J245" s="16" t="str">
        <f>IFERROR(VLOOKUP(B245,TABLA1!$B$14:$BF$1596,27,FALSE),"")</f>
        <v/>
      </c>
      <c r="K245" s="16">
        <f>IFERROR(VLOOKUP(B245,TABLA1!$B$14:$BF$1596,39,FALSE),)</f>
        <v>0</v>
      </c>
      <c r="L245" s="13" t="str">
        <f>IFERROR(VLOOKUP(B246,TABLA1!$B$14:$BF$1596,27,FALSE),"-")</f>
        <v>-</v>
      </c>
      <c r="M245" s="13" t="str">
        <f>IFERROR(VLOOKUP(B246,TABLA1!$B$14:$BF$1596,39,FALSE),"-")</f>
        <v>-</v>
      </c>
      <c r="N245" s="3">
        <v>51</v>
      </c>
      <c r="O245" s="3">
        <v>60</v>
      </c>
      <c r="P245" s="3">
        <f>N245-25</f>
        <v>26</v>
      </c>
      <c r="Q245" s="3">
        <f>O245-25</f>
        <v>35</v>
      </c>
    </row>
    <row r="246" spans="2:17" x14ac:dyDescent="0.25">
      <c r="C246" s="88"/>
      <c r="D246" s="88"/>
      <c r="E246" s="88"/>
      <c r="F246" s="88"/>
      <c r="G246" s="88"/>
      <c r="H246" s="88"/>
      <c r="I246" s="20" t="s">
        <v>47</v>
      </c>
      <c r="J246" s="13">
        <f>IFERROR(VLOOKUP(B245,TABLA1!$B$14:$BF$1596,26,FALSE),)</f>
        <v>0</v>
      </c>
      <c r="K246" s="13">
        <f>IFERROR(VLOOKUP(B245,TABLA1!$B$14:$BF$1596,38,FALSE),)</f>
        <v>0</v>
      </c>
      <c r="L246" s="13" t="str">
        <f>IFERROR(VLOOKUP(B246,TABLA1!$B$14:$BF$1596,26,FALSE),"-")</f>
        <v>-</v>
      </c>
      <c r="M246" s="13" t="str">
        <f>IFERROR(VLOOKUP(B246,TABLA1!$B$14:$BF$1596,38,FALSE),"-")</f>
        <v>-</v>
      </c>
    </row>
    <row r="247" spans="2:17" x14ac:dyDescent="0.25">
      <c r="C247" s="88"/>
      <c r="D247" s="88"/>
      <c r="E247" s="88"/>
      <c r="F247" s="88"/>
      <c r="G247" s="88"/>
      <c r="H247" s="88"/>
      <c r="I247" s="20" t="s">
        <v>10</v>
      </c>
      <c r="J247" s="16">
        <f>IFERROR(VLOOKUP(B245,TABLA1!$B$14:$BF$1596,28,FALSE),)</f>
        <v>0</v>
      </c>
      <c r="K247" s="16">
        <f>IFERROR(VLOOKUP(B245,TABLA1!$B$14:$BF$1596,40,FALSE),)</f>
        <v>0</v>
      </c>
      <c r="L247" s="13" t="str">
        <f>IFERROR(VLOOKUP(B246,TABLA1!$B$14:$BF$1596,28,FALSE),"-")</f>
        <v>-</v>
      </c>
      <c r="M247" s="13" t="str">
        <f>IFERROR(VLOOKUP(B246,TABLA1!$B$14:$BF$1596,40,FALSE),"-")</f>
        <v>-</v>
      </c>
    </row>
    <row r="248" spans="2:17" x14ac:dyDescent="0.25">
      <c r="C248" s="88"/>
      <c r="D248" s="88"/>
      <c r="E248" s="88"/>
      <c r="F248" s="88"/>
      <c r="G248" s="88"/>
      <c r="H248" s="88"/>
      <c r="I248" s="20" t="s">
        <v>11</v>
      </c>
      <c r="J248" s="13">
        <f>IFERROR(VLOOKUP(B245,TABLA1!$B$14:$BF$1596,29,FALSE),)</f>
        <v>0</v>
      </c>
      <c r="K248" s="13">
        <f>IFERROR(VLOOKUP(B245,TABLA1!$B$14:$BF$1596,41,FALSE),)</f>
        <v>0</v>
      </c>
      <c r="L248" s="13" t="str">
        <f>IFERROR(VLOOKUP(B246,TABLA1!$B$14:$BF$1596,29,FALSE),"-")</f>
        <v>-</v>
      </c>
      <c r="M248" s="13" t="str">
        <f>IFERROR(VLOOKUP(B246,TABLA1!$B$14:$BF$1596,41,FALSE),"-")</f>
        <v>-</v>
      </c>
    </row>
    <row r="249" spans="2:17" x14ac:dyDescent="0.25">
      <c r="C249" s="88"/>
      <c r="D249" s="88"/>
      <c r="E249" s="88"/>
      <c r="F249" s="88"/>
      <c r="G249" s="88"/>
      <c r="H249" s="88"/>
      <c r="I249" s="20" t="s">
        <v>48</v>
      </c>
      <c r="J249" s="16">
        <f>IFERROR(VLOOKUP(B245,TABLA1!$B$14:$BF$1596,31,FALSE),)</f>
        <v>0</v>
      </c>
      <c r="K249" s="16">
        <f>IFERROR(VLOOKUP(B245,TABLA1!$B$14:$BF$1596,43,FALSE),)</f>
        <v>0</v>
      </c>
      <c r="L249" s="13" t="str">
        <f>IFERROR(VLOOKUP(B246,TABLA1!$B$14:$BF$1596,31,FALSE),"-")</f>
        <v>-</v>
      </c>
      <c r="M249" s="13" t="str">
        <f>IFERROR(VLOOKUP(B246,TABLA1!$B$14:$BF$1596,43,FALSE),"-")</f>
        <v>-</v>
      </c>
      <c r="N249" s="3">
        <v>52</v>
      </c>
      <c r="O249" s="3">
        <v>61</v>
      </c>
      <c r="P249" s="3">
        <f t="shared" ref="P249:P254" si="40">N249-25</f>
        <v>27</v>
      </c>
      <c r="Q249" s="3">
        <f t="shared" ref="Q249:Q254" si="41">O249-25</f>
        <v>36</v>
      </c>
    </row>
    <row r="250" spans="2:17" x14ac:dyDescent="0.25">
      <c r="C250" s="88"/>
      <c r="D250" s="88"/>
      <c r="E250" s="88"/>
      <c r="F250" s="88"/>
      <c r="G250" s="88"/>
      <c r="H250" s="88"/>
      <c r="I250" s="20" t="s">
        <v>49</v>
      </c>
      <c r="J250" s="16">
        <f>IFERROR(VLOOKUP(B245,TABLA1!$B$14:$BF$1596,30,FALSE),)</f>
        <v>0</v>
      </c>
      <c r="K250" s="16">
        <f>IFERROR(VLOOKUP(B245,TABLA1!$B$14:$BF$1596,42,FALSE),)</f>
        <v>0</v>
      </c>
      <c r="L250" s="13" t="str">
        <f>IFERROR(VLOOKUP(B246,TABLA1!$B$14:$BF$1596,30,FALSE),"-")</f>
        <v>-</v>
      </c>
      <c r="M250" s="13" t="str">
        <f>IFERROR(VLOOKUP(B246,TABLA1!$B$14:$BF$1596,42,FALSE),"-")</f>
        <v>-</v>
      </c>
      <c r="N250" s="3">
        <v>53</v>
      </c>
      <c r="O250" s="3">
        <v>62</v>
      </c>
      <c r="P250" s="3">
        <f t="shared" si="40"/>
        <v>28</v>
      </c>
      <c r="Q250" s="3">
        <f t="shared" si="41"/>
        <v>37</v>
      </c>
    </row>
    <row r="251" spans="2:17" x14ac:dyDescent="0.25">
      <c r="C251" s="88"/>
      <c r="D251" s="88"/>
      <c r="E251" s="88"/>
      <c r="F251" s="88"/>
      <c r="G251" s="88"/>
      <c r="H251" s="88"/>
      <c r="I251" s="20" t="s">
        <v>33</v>
      </c>
      <c r="J251" s="16">
        <f>IFERROR(VLOOKUP(B245,TABLA1!$B$14:$BF$1596,32,FALSE),)</f>
        <v>0</v>
      </c>
      <c r="K251" s="16">
        <f>IFERROR(VLOOKUP(B245,TABLA1!$B$14:$BF$1596,44,FALSE),)</f>
        <v>0</v>
      </c>
      <c r="L251" s="13" t="str">
        <f>IFERROR(VLOOKUP(B246,TABLA1!$B$14:$BF$1596,32,FALSE),"-")</f>
        <v>-</v>
      </c>
      <c r="M251" s="13" t="str">
        <f>IFERROR(VLOOKUP(B246,TABLA1!$B$14:$BF$1596,44,FALSE),"-")</f>
        <v>-</v>
      </c>
      <c r="N251" s="3">
        <v>54</v>
      </c>
      <c r="O251" s="3">
        <v>63</v>
      </c>
      <c r="P251" s="3">
        <f t="shared" si="40"/>
        <v>29</v>
      </c>
      <c r="Q251" s="3">
        <f t="shared" si="41"/>
        <v>38</v>
      </c>
    </row>
    <row r="252" spans="2:17" x14ac:dyDescent="0.25">
      <c r="C252" s="88"/>
      <c r="D252" s="88"/>
      <c r="E252" s="88"/>
      <c r="F252" s="88"/>
      <c r="G252" s="88"/>
      <c r="H252" s="88"/>
      <c r="I252" s="20" t="s">
        <v>50</v>
      </c>
      <c r="J252" s="16">
        <f>IFERROR(VLOOKUP(B245,TABLA1!$B$14:$BF$1596,35,FALSE),)</f>
        <v>0</v>
      </c>
      <c r="K252" s="16">
        <f>IFERROR(VLOOKUP(B245,TABLA1!$B$14:$BF$1596,47,FALSE),)</f>
        <v>0</v>
      </c>
      <c r="L252" s="13" t="str">
        <f>IFERROR(VLOOKUP(B246,TABLA1!$B$14:$BF$1596,35,FALSE),"-")</f>
        <v>-</v>
      </c>
      <c r="M252" s="13" t="str">
        <f>IFERROR(VLOOKUP(B246,TABLA1!$B$14:$BF$1596,47,FALSE),"-")</f>
        <v>-</v>
      </c>
      <c r="N252" s="3">
        <v>56</v>
      </c>
      <c r="O252" s="3">
        <v>65</v>
      </c>
      <c r="P252" s="3">
        <f t="shared" si="40"/>
        <v>31</v>
      </c>
      <c r="Q252" s="3">
        <f t="shared" si="41"/>
        <v>40</v>
      </c>
    </row>
    <row r="253" spans="2:17" x14ac:dyDescent="0.25">
      <c r="C253" s="88"/>
      <c r="D253" s="88"/>
      <c r="E253" s="88"/>
      <c r="F253" s="88"/>
      <c r="G253" s="88"/>
      <c r="H253" s="88"/>
      <c r="I253" s="20" t="s">
        <v>51</v>
      </c>
      <c r="J253" s="16">
        <f>IFERROR(VLOOKUP(B245,TABLA1!$B$14:$BF$1596,34,FALSE),)</f>
        <v>0</v>
      </c>
      <c r="K253" s="16">
        <f>IFERROR(VLOOKUP(B245,TABLA1!$B$14:$BF$1596,46,FALSE),)</f>
        <v>0</v>
      </c>
      <c r="L253" s="13" t="str">
        <f>IFERROR(VLOOKUP(B246,TABLA1!$B$14:$BF$1596,34,FALSE),"-")</f>
        <v>-</v>
      </c>
      <c r="M253" s="13" t="str">
        <f>IFERROR(VLOOKUP(B246,TABLA1!$B$14:$BF$1596,46,FALSE),"-")</f>
        <v>-</v>
      </c>
      <c r="N253" s="3">
        <v>57</v>
      </c>
      <c r="O253" s="3">
        <v>66</v>
      </c>
      <c r="P253" s="3">
        <f t="shared" si="40"/>
        <v>32</v>
      </c>
      <c r="Q253" s="3">
        <f t="shared" si="41"/>
        <v>41</v>
      </c>
    </row>
    <row r="254" spans="2:17" x14ac:dyDescent="0.25">
      <c r="C254" s="88"/>
      <c r="D254" s="88"/>
      <c r="E254" s="88"/>
      <c r="F254" s="88"/>
      <c r="G254" s="88"/>
      <c r="H254" s="88"/>
      <c r="I254" s="20" t="s">
        <v>34</v>
      </c>
      <c r="J254" s="16">
        <f>IFERROR(VLOOKUP(B245,TABLA1!$B$14:$BF$1596,36,FALSE),)</f>
        <v>0</v>
      </c>
      <c r="K254" s="16">
        <f>IFERROR(VLOOKUP(B245,TABLA1!$B$14:$BF$1596,48,FALSE),)</f>
        <v>0</v>
      </c>
      <c r="L254" s="13" t="str">
        <f>IFERROR(VLOOKUP(B246,TABLA1!$B$14:$BF$1596,36,FALSE),"-")</f>
        <v>-</v>
      </c>
      <c r="M254" s="13" t="str">
        <f>IFERROR(VLOOKUP(B246,TABLA1!$B$14:$BF$1596,48,FALSE),"-")</f>
        <v>-</v>
      </c>
      <c r="N254" s="3">
        <v>59</v>
      </c>
      <c r="O254" s="3">
        <v>68</v>
      </c>
      <c r="P254" s="3">
        <f t="shared" si="40"/>
        <v>34</v>
      </c>
      <c r="Q254" s="3">
        <f t="shared" si="41"/>
        <v>43</v>
      </c>
    </row>
    <row r="255" spans="2:17" x14ac:dyDescent="0.25">
      <c r="C255" s="88"/>
      <c r="D255" s="88"/>
      <c r="E255" s="88"/>
      <c r="F255" s="88"/>
      <c r="G255" s="88"/>
      <c r="H255" s="88"/>
      <c r="I255" s="20" t="s">
        <v>35</v>
      </c>
      <c r="J255" s="16"/>
      <c r="K255" s="16"/>
      <c r="L255" s="13"/>
      <c r="M255" s="13"/>
    </row>
    <row r="256" spans="2:17" x14ac:dyDescent="0.25">
      <c r="C256" s="88"/>
      <c r="D256" s="88"/>
      <c r="E256" s="88"/>
      <c r="F256" s="88"/>
      <c r="G256" s="88"/>
      <c r="H256" s="88"/>
      <c r="I256" s="20" t="s">
        <v>36</v>
      </c>
      <c r="J256" s="13"/>
      <c r="K256" s="13"/>
      <c r="L256" s="13"/>
      <c r="M256" s="13"/>
    </row>
    <row r="257" spans="2:17" x14ac:dyDescent="0.25">
      <c r="B257" s="3">
        <f>TABLA1!B33</f>
        <v>0</v>
      </c>
      <c r="C257" s="88" t="e">
        <f>VLOOKUP(B257,TABLA1!$B$14:$BF$1596,2,FALSE)</f>
        <v>#N/A</v>
      </c>
      <c r="D257" s="88" t="e">
        <f>VLOOKUP(B257,TABLA1!$B$14:$BF$1596,3,FALSE)</f>
        <v>#N/A</v>
      </c>
      <c r="E257" s="88" t="e">
        <f>VLOOKUP(B257,TABLA1!$B$14:$BF$1596,4,FALSE)&amp;"/"&amp;VLOOKUP(B257,TABLA1!$B$14:$BF$1596,5,FALSE)</f>
        <v>#N/A</v>
      </c>
      <c r="F257" s="88" t="e">
        <f>VLOOKUP(B257,TABLA1!$B$14:$BF$1596,7,FALSE)</f>
        <v>#N/A</v>
      </c>
      <c r="G257" s="88"/>
      <c r="H257" s="88"/>
      <c r="I257" s="20" t="s">
        <v>46</v>
      </c>
      <c r="J257" s="16" t="str">
        <f>IFERROR(VLOOKUP(B257,TABLA1!$B$14:$BF$1596,27,FALSE),"")</f>
        <v/>
      </c>
      <c r="K257" s="16">
        <f>IFERROR(VLOOKUP(B257,TABLA1!$B$14:$BF$1596,39,FALSE),)</f>
        <v>0</v>
      </c>
      <c r="L257" s="13" t="str">
        <f>IFERROR(VLOOKUP(B258,TABLA1!$B$14:$BF$1596,27,FALSE),"-")</f>
        <v>-</v>
      </c>
      <c r="M257" s="13" t="str">
        <f>IFERROR(VLOOKUP(B258,TABLA1!$B$14:$BF$1596,39,FALSE),"-")</f>
        <v>-</v>
      </c>
      <c r="N257" s="3">
        <v>51</v>
      </c>
      <c r="O257" s="3">
        <v>60</v>
      </c>
      <c r="P257" s="3">
        <f>N257-25</f>
        <v>26</v>
      </c>
      <c r="Q257" s="3">
        <f>O257-25</f>
        <v>35</v>
      </c>
    </row>
    <row r="258" spans="2:17" x14ac:dyDescent="0.25">
      <c r="C258" s="88"/>
      <c r="D258" s="88"/>
      <c r="E258" s="88"/>
      <c r="F258" s="88"/>
      <c r="G258" s="88"/>
      <c r="H258" s="88"/>
      <c r="I258" s="20" t="s">
        <v>47</v>
      </c>
      <c r="J258" s="13">
        <f>IFERROR(VLOOKUP(B257,TABLA1!$B$14:$BF$1596,26,FALSE),)</f>
        <v>0</v>
      </c>
      <c r="K258" s="13">
        <f>IFERROR(VLOOKUP(B257,TABLA1!$B$14:$BF$1596,38,FALSE),)</f>
        <v>0</v>
      </c>
      <c r="L258" s="13" t="str">
        <f>IFERROR(VLOOKUP(B258,TABLA1!$B$14:$BF$1596,26,FALSE),"-")</f>
        <v>-</v>
      </c>
      <c r="M258" s="13" t="str">
        <f>IFERROR(VLOOKUP(B258,TABLA1!$B$14:$BF$1596,38,FALSE),"-")</f>
        <v>-</v>
      </c>
    </row>
    <row r="259" spans="2:17" x14ac:dyDescent="0.25">
      <c r="C259" s="88"/>
      <c r="D259" s="88"/>
      <c r="E259" s="88"/>
      <c r="F259" s="88"/>
      <c r="G259" s="88"/>
      <c r="H259" s="88"/>
      <c r="I259" s="20" t="s">
        <v>10</v>
      </c>
      <c r="J259" s="16">
        <f>IFERROR(VLOOKUP(B257,TABLA1!$B$14:$BF$1596,28,FALSE),)</f>
        <v>0</v>
      </c>
      <c r="K259" s="16">
        <f>IFERROR(VLOOKUP(B257,TABLA1!$B$14:$BF$1596,40,FALSE),)</f>
        <v>0</v>
      </c>
      <c r="L259" s="13" t="str">
        <f>IFERROR(VLOOKUP(B258,TABLA1!$B$14:$BF$1596,28,FALSE),"-")</f>
        <v>-</v>
      </c>
      <c r="M259" s="13" t="str">
        <f>IFERROR(VLOOKUP(B258,TABLA1!$B$14:$BF$1596,40,FALSE),"-")</f>
        <v>-</v>
      </c>
    </row>
    <row r="260" spans="2:17" x14ac:dyDescent="0.25">
      <c r="C260" s="88"/>
      <c r="D260" s="88"/>
      <c r="E260" s="88"/>
      <c r="F260" s="88"/>
      <c r="G260" s="88"/>
      <c r="H260" s="88"/>
      <c r="I260" s="20" t="s">
        <v>11</v>
      </c>
      <c r="J260" s="13">
        <f>IFERROR(VLOOKUP(B257,TABLA1!$B$14:$BF$1596,29,FALSE),)</f>
        <v>0</v>
      </c>
      <c r="K260" s="13">
        <f>IFERROR(VLOOKUP(B257,TABLA1!$B$14:$BF$1596,41,FALSE),)</f>
        <v>0</v>
      </c>
      <c r="L260" s="13" t="str">
        <f>IFERROR(VLOOKUP(B258,TABLA1!$B$14:$BF$1596,29,FALSE),"-")</f>
        <v>-</v>
      </c>
      <c r="M260" s="13" t="str">
        <f>IFERROR(VLOOKUP(B258,TABLA1!$B$14:$BF$1596,41,FALSE),"-")</f>
        <v>-</v>
      </c>
    </row>
    <row r="261" spans="2:17" x14ac:dyDescent="0.25">
      <c r="C261" s="88"/>
      <c r="D261" s="88"/>
      <c r="E261" s="88"/>
      <c r="F261" s="88"/>
      <c r="G261" s="88"/>
      <c r="H261" s="88"/>
      <c r="I261" s="20" t="s">
        <v>48</v>
      </c>
      <c r="J261" s="16">
        <f>IFERROR(VLOOKUP(B257,TABLA1!$B$14:$BF$1596,31,FALSE),)</f>
        <v>0</v>
      </c>
      <c r="K261" s="16">
        <f>IFERROR(VLOOKUP(B257,TABLA1!$B$14:$BF$1596,43,FALSE),)</f>
        <v>0</v>
      </c>
      <c r="L261" s="13" t="str">
        <f>IFERROR(VLOOKUP(B258,TABLA1!$B$14:$BF$1596,31,FALSE),"-")</f>
        <v>-</v>
      </c>
      <c r="M261" s="13" t="str">
        <f>IFERROR(VLOOKUP(B258,TABLA1!$B$14:$BF$1596,43,FALSE),"-")</f>
        <v>-</v>
      </c>
      <c r="N261" s="3">
        <v>52</v>
      </c>
      <c r="O261" s="3">
        <v>61</v>
      </c>
      <c r="P261" s="3">
        <f t="shared" ref="P261:P266" si="42">N261-25</f>
        <v>27</v>
      </c>
      <c r="Q261" s="3">
        <f t="shared" ref="Q261:Q266" si="43">O261-25</f>
        <v>36</v>
      </c>
    </row>
    <row r="262" spans="2:17" x14ac:dyDescent="0.25">
      <c r="C262" s="88"/>
      <c r="D262" s="88"/>
      <c r="E262" s="88"/>
      <c r="F262" s="88"/>
      <c r="G262" s="88"/>
      <c r="H262" s="88"/>
      <c r="I262" s="20" t="s">
        <v>49</v>
      </c>
      <c r="J262" s="16">
        <f>IFERROR(VLOOKUP(B257,TABLA1!$B$14:$BF$1596,30,FALSE),)</f>
        <v>0</v>
      </c>
      <c r="K262" s="16">
        <f>IFERROR(VLOOKUP(B257,TABLA1!$B$14:$BF$1596,42,FALSE),)</f>
        <v>0</v>
      </c>
      <c r="L262" s="13" t="str">
        <f>IFERROR(VLOOKUP(B258,TABLA1!$B$14:$BF$1596,30,FALSE),"-")</f>
        <v>-</v>
      </c>
      <c r="M262" s="13" t="str">
        <f>IFERROR(VLOOKUP(B258,TABLA1!$B$14:$BF$1596,42,FALSE),"-")</f>
        <v>-</v>
      </c>
      <c r="N262" s="3">
        <v>53</v>
      </c>
      <c r="O262" s="3">
        <v>62</v>
      </c>
      <c r="P262" s="3">
        <f t="shared" si="42"/>
        <v>28</v>
      </c>
      <c r="Q262" s="3">
        <f t="shared" si="43"/>
        <v>37</v>
      </c>
    </row>
    <row r="263" spans="2:17" x14ac:dyDescent="0.25">
      <c r="C263" s="88"/>
      <c r="D263" s="88"/>
      <c r="E263" s="88"/>
      <c r="F263" s="88"/>
      <c r="G263" s="88"/>
      <c r="H263" s="88"/>
      <c r="I263" s="20" t="s">
        <v>33</v>
      </c>
      <c r="J263" s="16">
        <f>IFERROR(VLOOKUP(B257,TABLA1!$B$14:$BF$1596,32,FALSE),)</f>
        <v>0</v>
      </c>
      <c r="K263" s="16">
        <f>IFERROR(VLOOKUP(B257,TABLA1!$B$14:$BF$1596,44,FALSE),)</f>
        <v>0</v>
      </c>
      <c r="L263" s="13" t="str">
        <f>IFERROR(VLOOKUP(B258,TABLA1!$B$14:$BF$1596,32,FALSE),"-")</f>
        <v>-</v>
      </c>
      <c r="M263" s="13" t="str">
        <f>IFERROR(VLOOKUP(B258,TABLA1!$B$14:$BF$1596,44,FALSE),"-")</f>
        <v>-</v>
      </c>
      <c r="N263" s="3">
        <v>54</v>
      </c>
      <c r="O263" s="3">
        <v>63</v>
      </c>
      <c r="P263" s="3">
        <f t="shared" si="42"/>
        <v>29</v>
      </c>
      <c r="Q263" s="3">
        <f t="shared" si="43"/>
        <v>38</v>
      </c>
    </row>
    <row r="264" spans="2:17" x14ac:dyDescent="0.25">
      <c r="C264" s="88"/>
      <c r="D264" s="88"/>
      <c r="E264" s="88"/>
      <c r="F264" s="88"/>
      <c r="G264" s="88"/>
      <c r="H264" s="88"/>
      <c r="I264" s="20" t="s">
        <v>50</v>
      </c>
      <c r="J264" s="16">
        <f>IFERROR(VLOOKUP(B257,TABLA1!$B$14:$BF$1596,35,FALSE),)</f>
        <v>0</v>
      </c>
      <c r="K264" s="16">
        <f>IFERROR(VLOOKUP(B257,TABLA1!$B$14:$BF$1596,47,FALSE),)</f>
        <v>0</v>
      </c>
      <c r="L264" s="13" t="str">
        <f>IFERROR(VLOOKUP(B258,TABLA1!$B$14:$BF$1596,35,FALSE),"-")</f>
        <v>-</v>
      </c>
      <c r="M264" s="13" t="str">
        <f>IFERROR(VLOOKUP(B258,TABLA1!$B$14:$BF$1596,47,FALSE),"-")</f>
        <v>-</v>
      </c>
      <c r="N264" s="3">
        <v>56</v>
      </c>
      <c r="O264" s="3">
        <v>65</v>
      </c>
      <c r="P264" s="3">
        <f t="shared" si="42"/>
        <v>31</v>
      </c>
      <c r="Q264" s="3">
        <f t="shared" si="43"/>
        <v>40</v>
      </c>
    </row>
    <row r="265" spans="2:17" x14ac:dyDescent="0.25">
      <c r="C265" s="88"/>
      <c r="D265" s="88"/>
      <c r="E265" s="88"/>
      <c r="F265" s="88"/>
      <c r="G265" s="88"/>
      <c r="H265" s="88"/>
      <c r="I265" s="20" t="s">
        <v>51</v>
      </c>
      <c r="J265" s="16">
        <f>IFERROR(VLOOKUP(B257,TABLA1!$B$14:$BF$1596,34,FALSE),)</f>
        <v>0</v>
      </c>
      <c r="K265" s="16">
        <f>IFERROR(VLOOKUP(B257,TABLA1!$B$14:$BF$1596,46,FALSE),)</f>
        <v>0</v>
      </c>
      <c r="L265" s="13" t="str">
        <f>IFERROR(VLOOKUP(B258,TABLA1!$B$14:$BF$1596,34,FALSE),"-")</f>
        <v>-</v>
      </c>
      <c r="M265" s="13" t="str">
        <f>IFERROR(VLOOKUP(B258,TABLA1!$B$14:$BF$1596,46,FALSE),"-")</f>
        <v>-</v>
      </c>
      <c r="N265" s="3">
        <v>57</v>
      </c>
      <c r="O265" s="3">
        <v>66</v>
      </c>
      <c r="P265" s="3">
        <f t="shared" si="42"/>
        <v>32</v>
      </c>
      <c r="Q265" s="3">
        <f t="shared" si="43"/>
        <v>41</v>
      </c>
    </row>
    <row r="266" spans="2:17" x14ac:dyDescent="0.25">
      <c r="C266" s="88"/>
      <c r="D266" s="88"/>
      <c r="E266" s="88"/>
      <c r="F266" s="88"/>
      <c r="G266" s="88"/>
      <c r="H266" s="88"/>
      <c r="I266" s="20" t="s">
        <v>34</v>
      </c>
      <c r="J266" s="16">
        <f>IFERROR(VLOOKUP(B257,TABLA1!$B$14:$BF$1596,36,FALSE),)</f>
        <v>0</v>
      </c>
      <c r="K266" s="16">
        <f>IFERROR(VLOOKUP(B257,TABLA1!$B$14:$BF$1596,48,FALSE),)</f>
        <v>0</v>
      </c>
      <c r="L266" s="13" t="str">
        <f>IFERROR(VLOOKUP(B258,TABLA1!$B$14:$BF$1596,36,FALSE),"-")</f>
        <v>-</v>
      </c>
      <c r="M266" s="13" t="str">
        <f>IFERROR(VLOOKUP(B258,TABLA1!$B$14:$BF$1596,48,FALSE),"-")</f>
        <v>-</v>
      </c>
      <c r="N266" s="3">
        <v>59</v>
      </c>
      <c r="O266" s="3">
        <v>68</v>
      </c>
      <c r="P266" s="3">
        <f t="shared" si="42"/>
        <v>34</v>
      </c>
      <c r="Q266" s="3">
        <f t="shared" si="43"/>
        <v>43</v>
      </c>
    </row>
    <row r="267" spans="2:17" x14ac:dyDescent="0.25">
      <c r="C267" s="88"/>
      <c r="D267" s="88"/>
      <c r="E267" s="88"/>
      <c r="F267" s="88"/>
      <c r="G267" s="88"/>
      <c r="H267" s="88"/>
      <c r="I267" s="20" t="s">
        <v>35</v>
      </c>
      <c r="J267" s="16"/>
      <c r="K267" s="16"/>
      <c r="L267" s="13"/>
      <c r="M267" s="13"/>
    </row>
    <row r="268" spans="2:17" x14ac:dyDescent="0.25">
      <c r="C268" s="88"/>
      <c r="D268" s="88"/>
      <c r="E268" s="88"/>
      <c r="F268" s="88"/>
      <c r="G268" s="88"/>
      <c r="H268" s="88"/>
      <c r="I268" s="20" t="s">
        <v>36</v>
      </c>
      <c r="J268" s="13"/>
      <c r="K268" s="13"/>
      <c r="L268" s="13"/>
      <c r="M268" s="13"/>
    </row>
    <row r="269" spans="2:17" x14ac:dyDescent="0.25">
      <c r="B269" s="3">
        <f>TABLA1!B34</f>
        <v>0</v>
      </c>
      <c r="C269" s="88" t="e">
        <f>VLOOKUP(B269,TABLA1!$B$14:$BF$1596,2,FALSE)</f>
        <v>#N/A</v>
      </c>
      <c r="D269" s="88" t="e">
        <f>VLOOKUP(B269,TABLA1!$B$14:$BF$1596,3,FALSE)</f>
        <v>#N/A</v>
      </c>
      <c r="E269" s="88" t="e">
        <f>VLOOKUP(B269,TABLA1!$B$14:$BF$1596,4,FALSE)&amp;"/"&amp;VLOOKUP(B269,TABLA1!$B$14:$BF$1596,5,FALSE)</f>
        <v>#N/A</v>
      </c>
      <c r="F269" s="88" t="e">
        <f>VLOOKUP(B269,TABLA1!$B$14:$BF$1596,7,FALSE)</f>
        <v>#N/A</v>
      </c>
      <c r="G269" s="88"/>
      <c r="H269" s="88"/>
      <c r="I269" s="20" t="s">
        <v>46</v>
      </c>
      <c r="J269" s="16" t="str">
        <f>IFERROR(VLOOKUP(B269,TABLA1!$B$14:$BF$1596,27,FALSE),"")</f>
        <v/>
      </c>
      <c r="K269" s="16">
        <f>IFERROR(VLOOKUP(B269,TABLA1!$B$14:$BF$1596,39,FALSE),)</f>
        <v>0</v>
      </c>
      <c r="L269" s="13" t="str">
        <f>IFERROR(VLOOKUP(B270,TABLA1!$B$14:$BF$1596,27,FALSE),"-")</f>
        <v>-</v>
      </c>
      <c r="M269" s="13" t="str">
        <f>IFERROR(VLOOKUP(B270,TABLA1!$B$14:$BF$1596,39,FALSE),"-")</f>
        <v>-</v>
      </c>
      <c r="N269" s="3">
        <v>51</v>
      </c>
      <c r="O269" s="3">
        <v>60</v>
      </c>
      <c r="P269" s="3">
        <f>N269-25</f>
        <v>26</v>
      </c>
      <c r="Q269" s="3">
        <f>O269-25</f>
        <v>35</v>
      </c>
    </row>
    <row r="270" spans="2:17" x14ac:dyDescent="0.25">
      <c r="C270" s="88"/>
      <c r="D270" s="88"/>
      <c r="E270" s="88"/>
      <c r="F270" s="88"/>
      <c r="G270" s="88"/>
      <c r="H270" s="88"/>
      <c r="I270" s="20" t="s">
        <v>47</v>
      </c>
      <c r="J270" s="13">
        <f>IFERROR(VLOOKUP(B269,TABLA1!$B$14:$BF$1596,26,FALSE),)</f>
        <v>0</v>
      </c>
      <c r="K270" s="13">
        <f>IFERROR(VLOOKUP(B269,TABLA1!$B$14:$BF$1596,38,FALSE),)</f>
        <v>0</v>
      </c>
      <c r="L270" s="13" t="str">
        <f>IFERROR(VLOOKUP(B270,TABLA1!$B$14:$BF$1596,26,FALSE),"-")</f>
        <v>-</v>
      </c>
      <c r="M270" s="13" t="str">
        <f>IFERROR(VLOOKUP(B270,TABLA1!$B$14:$BF$1596,38,FALSE),"-")</f>
        <v>-</v>
      </c>
    </row>
    <row r="271" spans="2:17" x14ac:dyDescent="0.25">
      <c r="C271" s="88"/>
      <c r="D271" s="88"/>
      <c r="E271" s="88"/>
      <c r="F271" s="88"/>
      <c r="G271" s="88"/>
      <c r="H271" s="88"/>
      <c r="I271" s="20" t="s">
        <v>10</v>
      </c>
      <c r="J271" s="16">
        <f>IFERROR(VLOOKUP(B269,TABLA1!$B$14:$BF$1596,28,FALSE),)</f>
        <v>0</v>
      </c>
      <c r="K271" s="16">
        <f>IFERROR(VLOOKUP(B269,TABLA1!$B$14:$BF$1596,40,FALSE),)</f>
        <v>0</v>
      </c>
      <c r="L271" s="13" t="str">
        <f>IFERROR(VLOOKUP(B270,TABLA1!$B$14:$BF$1596,28,FALSE),"-")</f>
        <v>-</v>
      </c>
      <c r="M271" s="13" t="str">
        <f>IFERROR(VLOOKUP(B270,TABLA1!$B$14:$BF$1596,40,FALSE),"-")</f>
        <v>-</v>
      </c>
    </row>
    <row r="272" spans="2:17" x14ac:dyDescent="0.25">
      <c r="C272" s="88"/>
      <c r="D272" s="88"/>
      <c r="E272" s="88"/>
      <c r="F272" s="88"/>
      <c r="G272" s="88"/>
      <c r="H272" s="88"/>
      <c r="I272" s="20" t="s">
        <v>11</v>
      </c>
      <c r="J272" s="13">
        <f>IFERROR(VLOOKUP(B269,TABLA1!$B$14:$BF$1596,29,FALSE),)</f>
        <v>0</v>
      </c>
      <c r="K272" s="13">
        <f>IFERROR(VLOOKUP(B269,TABLA1!$B$14:$BF$1596,41,FALSE),)</f>
        <v>0</v>
      </c>
      <c r="L272" s="13" t="str">
        <f>IFERROR(VLOOKUP(B270,TABLA1!$B$14:$BF$1596,29,FALSE),"-")</f>
        <v>-</v>
      </c>
      <c r="M272" s="13" t="str">
        <f>IFERROR(VLOOKUP(B270,TABLA1!$B$14:$BF$1596,41,FALSE),"-")</f>
        <v>-</v>
      </c>
    </row>
    <row r="273" spans="2:17" x14ac:dyDescent="0.25">
      <c r="C273" s="88"/>
      <c r="D273" s="88"/>
      <c r="E273" s="88"/>
      <c r="F273" s="88"/>
      <c r="G273" s="88"/>
      <c r="H273" s="88"/>
      <c r="I273" s="20" t="s">
        <v>48</v>
      </c>
      <c r="J273" s="16">
        <f>IFERROR(VLOOKUP(B269,TABLA1!$B$14:$BF$1596,31,FALSE),)</f>
        <v>0</v>
      </c>
      <c r="K273" s="16">
        <f>IFERROR(VLOOKUP(B269,TABLA1!$B$14:$BF$1596,43,FALSE),)</f>
        <v>0</v>
      </c>
      <c r="L273" s="13" t="str">
        <f>IFERROR(VLOOKUP(B270,TABLA1!$B$14:$BF$1596,31,FALSE),"-")</f>
        <v>-</v>
      </c>
      <c r="M273" s="13" t="str">
        <f>IFERROR(VLOOKUP(B270,TABLA1!$B$14:$BF$1596,43,FALSE),"-")</f>
        <v>-</v>
      </c>
      <c r="N273" s="3">
        <v>52</v>
      </c>
      <c r="O273" s="3">
        <v>61</v>
      </c>
      <c r="P273" s="3">
        <f t="shared" ref="P273:P278" si="44">N273-25</f>
        <v>27</v>
      </c>
      <c r="Q273" s="3">
        <f t="shared" ref="Q273:Q278" si="45">O273-25</f>
        <v>36</v>
      </c>
    </row>
    <row r="274" spans="2:17" x14ac:dyDescent="0.25">
      <c r="C274" s="88"/>
      <c r="D274" s="88"/>
      <c r="E274" s="88"/>
      <c r="F274" s="88"/>
      <c r="G274" s="88"/>
      <c r="H274" s="88"/>
      <c r="I274" s="20" t="s">
        <v>49</v>
      </c>
      <c r="J274" s="16">
        <f>IFERROR(VLOOKUP(B269,TABLA1!$B$14:$BF$1596,30,FALSE),)</f>
        <v>0</v>
      </c>
      <c r="K274" s="16">
        <f>IFERROR(VLOOKUP(B269,TABLA1!$B$14:$BF$1596,42,FALSE),)</f>
        <v>0</v>
      </c>
      <c r="L274" s="13" t="str">
        <f>IFERROR(VLOOKUP(B270,TABLA1!$B$14:$BF$1596,30,FALSE),"-")</f>
        <v>-</v>
      </c>
      <c r="M274" s="13" t="str">
        <f>IFERROR(VLOOKUP(B270,TABLA1!$B$14:$BF$1596,42,FALSE),"-")</f>
        <v>-</v>
      </c>
      <c r="N274" s="3">
        <v>53</v>
      </c>
      <c r="O274" s="3">
        <v>62</v>
      </c>
      <c r="P274" s="3">
        <f t="shared" si="44"/>
        <v>28</v>
      </c>
      <c r="Q274" s="3">
        <f t="shared" si="45"/>
        <v>37</v>
      </c>
    </row>
    <row r="275" spans="2:17" x14ac:dyDescent="0.25">
      <c r="C275" s="88"/>
      <c r="D275" s="88"/>
      <c r="E275" s="88"/>
      <c r="F275" s="88"/>
      <c r="G275" s="88"/>
      <c r="H275" s="88"/>
      <c r="I275" s="20" t="s">
        <v>33</v>
      </c>
      <c r="J275" s="16">
        <f>IFERROR(VLOOKUP(B269,TABLA1!$B$14:$BF$1596,32,FALSE),)</f>
        <v>0</v>
      </c>
      <c r="K275" s="16">
        <f>IFERROR(VLOOKUP(B269,TABLA1!$B$14:$BF$1596,44,FALSE),)</f>
        <v>0</v>
      </c>
      <c r="L275" s="13" t="str">
        <f>IFERROR(VLOOKUP(B270,TABLA1!$B$14:$BF$1596,32,FALSE),"-")</f>
        <v>-</v>
      </c>
      <c r="M275" s="13" t="str">
        <f>IFERROR(VLOOKUP(B270,TABLA1!$B$14:$BF$1596,44,FALSE),"-")</f>
        <v>-</v>
      </c>
      <c r="N275" s="3">
        <v>54</v>
      </c>
      <c r="O275" s="3">
        <v>63</v>
      </c>
      <c r="P275" s="3">
        <f t="shared" si="44"/>
        <v>29</v>
      </c>
      <c r="Q275" s="3">
        <f t="shared" si="45"/>
        <v>38</v>
      </c>
    </row>
    <row r="276" spans="2:17" x14ac:dyDescent="0.25">
      <c r="C276" s="88"/>
      <c r="D276" s="88"/>
      <c r="E276" s="88"/>
      <c r="F276" s="88"/>
      <c r="G276" s="88"/>
      <c r="H276" s="88"/>
      <c r="I276" s="20" t="s">
        <v>50</v>
      </c>
      <c r="J276" s="16">
        <f>IFERROR(VLOOKUP(B269,TABLA1!$B$14:$BF$1596,35,FALSE),)</f>
        <v>0</v>
      </c>
      <c r="K276" s="16">
        <f>IFERROR(VLOOKUP(B269,TABLA1!$B$14:$BF$1596,47,FALSE),)</f>
        <v>0</v>
      </c>
      <c r="L276" s="13" t="str">
        <f>IFERROR(VLOOKUP(B270,TABLA1!$B$14:$BF$1596,35,FALSE),"-")</f>
        <v>-</v>
      </c>
      <c r="M276" s="13" t="str">
        <f>IFERROR(VLOOKUP(B270,TABLA1!$B$14:$BF$1596,47,FALSE),"-")</f>
        <v>-</v>
      </c>
      <c r="N276" s="3">
        <v>56</v>
      </c>
      <c r="O276" s="3">
        <v>65</v>
      </c>
      <c r="P276" s="3">
        <f t="shared" si="44"/>
        <v>31</v>
      </c>
      <c r="Q276" s="3">
        <f t="shared" si="45"/>
        <v>40</v>
      </c>
    </row>
    <row r="277" spans="2:17" x14ac:dyDescent="0.25">
      <c r="C277" s="88"/>
      <c r="D277" s="88"/>
      <c r="E277" s="88"/>
      <c r="F277" s="88"/>
      <c r="G277" s="88"/>
      <c r="H277" s="88"/>
      <c r="I277" s="20" t="s">
        <v>51</v>
      </c>
      <c r="J277" s="16">
        <f>IFERROR(VLOOKUP(B269,TABLA1!$B$14:$BF$1596,34,FALSE),)</f>
        <v>0</v>
      </c>
      <c r="K277" s="16">
        <f>IFERROR(VLOOKUP(B269,TABLA1!$B$14:$BF$1596,46,FALSE),)</f>
        <v>0</v>
      </c>
      <c r="L277" s="13" t="str">
        <f>IFERROR(VLOOKUP(B270,TABLA1!$B$14:$BF$1596,34,FALSE),"-")</f>
        <v>-</v>
      </c>
      <c r="M277" s="13" t="str">
        <f>IFERROR(VLOOKUP(B270,TABLA1!$B$14:$BF$1596,46,FALSE),"-")</f>
        <v>-</v>
      </c>
      <c r="N277" s="3">
        <v>57</v>
      </c>
      <c r="O277" s="3">
        <v>66</v>
      </c>
      <c r="P277" s="3">
        <f t="shared" si="44"/>
        <v>32</v>
      </c>
      <c r="Q277" s="3">
        <f t="shared" si="45"/>
        <v>41</v>
      </c>
    </row>
    <row r="278" spans="2:17" x14ac:dyDescent="0.25">
      <c r="C278" s="88"/>
      <c r="D278" s="88"/>
      <c r="E278" s="88"/>
      <c r="F278" s="88"/>
      <c r="G278" s="88"/>
      <c r="H278" s="88"/>
      <c r="I278" s="20" t="s">
        <v>34</v>
      </c>
      <c r="J278" s="16">
        <f>IFERROR(VLOOKUP(B269,TABLA1!$B$14:$BF$1596,36,FALSE),)</f>
        <v>0</v>
      </c>
      <c r="K278" s="16">
        <f>IFERROR(VLOOKUP(B269,TABLA1!$B$14:$BF$1596,48,FALSE),)</f>
        <v>0</v>
      </c>
      <c r="L278" s="13" t="str">
        <f>IFERROR(VLOOKUP(B270,TABLA1!$B$14:$BF$1596,36,FALSE),"-")</f>
        <v>-</v>
      </c>
      <c r="M278" s="13" t="str">
        <f>IFERROR(VLOOKUP(B270,TABLA1!$B$14:$BF$1596,48,FALSE),"-")</f>
        <v>-</v>
      </c>
      <c r="N278" s="3">
        <v>59</v>
      </c>
      <c r="O278" s="3">
        <v>68</v>
      </c>
      <c r="P278" s="3">
        <f t="shared" si="44"/>
        <v>34</v>
      </c>
      <c r="Q278" s="3">
        <f t="shared" si="45"/>
        <v>43</v>
      </c>
    </row>
    <row r="279" spans="2:17" x14ac:dyDescent="0.25">
      <c r="C279" s="88"/>
      <c r="D279" s="88"/>
      <c r="E279" s="88"/>
      <c r="F279" s="88"/>
      <c r="G279" s="88"/>
      <c r="H279" s="88"/>
      <c r="I279" s="20" t="s">
        <v>35</v>
      </c>
      <c r="J279" s="16"/>
      <c r="K279" s="16"/>
      <c r="L279" s="13"/>
      <c r="M279" s="13"/>
    </row>
    <row r="280" spans="2:17" x14ac:dyDescent="0.25">
      <c r="C280" s="88"/>
      <c r="D280" s="88"/>
      <c r="E280" s="88"/>
      <c r="F280" s="88"/>
      <c r="G280" s="88"/>
      <c r="H280" s="88"/>
      <c r="I280" s="20" t="s">
        <v>36</v>
      </c>
      <c r="J280" s="13"/>
      <c r="K280" s="13"/>
      <c r="L280" s="13"/>
      <c r="M280" s="13"/>
    </row>
    <row r="281" spans="2:17" x14ac:dyDescent="0.25">
      <c r="B281" s="3">
        <f>TABLA1!B35</f>
        <v>0</v>
      </c>
      <c r="C281" s="88" t="e">
        <f>VLOOKUP(B281,TABLA1!$B$14:$BF$1596,2,FALSE)</f>
        <v>#N/A</v>
      </c>
      <c r="D281" s="88" t="e">
        <f>VLOOKUP(B281,TABLA1!$B$14:$BF$1596,3,FALSE)</f>
        <v>#N/A</v>
      </c>
      <c r="E281" s="88" t="e">
        <f>VLOOKUP(B281,TABLA1!$B$14:$BF$1596,4,FALSE)&amp;"/"&amp;VLOOKUP(B281,TABLA1!$B$14:$BF$1596,5,FALSE)</f>
        <v>#N/A</v>
      </c>
      <c r="F281" s="88" t="e">
        <f>VLOOKUP(B281,TABLA1!$B$14:$BF$1596,7,FALSE)</f>
        <v>#N/A</v>
      </c>
      <c r="G281" s="88"/>
      <c r="H281" s="88"/>
      <c r="I281" s="20" t="s">
        <v>46</v>
      </c>
      <c r="J281" s="16" t="str">
        <f>IFERROR(VLOOKUP(B281,TABLA1!$B$14:$BF$1596,27,FALSE),"")</f>
        <v/>
      </c>
      <c r="K281" s="16">
        <f>IFERROR(VLOOKUP(B281,TABLA1!$B$14:$BF$1596,39,FALSE),)</f>
        <v>0</v>
      </c>
      <c r="L281" s="13" t="str">
        <f>IFERROR(VLOOKUP(B282,TABLA1!$B$14:$BF$1596,27,FALSE),"-")</f>
        <v>-</v>
      </c>
      <c r="M281" s="13" t="str">
        <f>IFERROR(VLOOKUP(B282,TABLA1!$B$14:$BF$1596,39,FALSE),"-")</f>
        <v>-</v>
      </c>
      <c r="N281" s="3">
        <v>51</v>
      </c>
      <c r="O281" s="3">
        <v>60</v>
      </c>
      <c r="P281" s="3">
        <f>N281-25</f>
        <v>26</v>
      </c>
      <c r="Q281" s="3">
        <f>O281-25</f>
        <v>35</v>
      </c>
    </row>
    <row r="282" spans="2:17" x14ac:dyDescent="0.25">
      <c r="C282" s="88"/>
      <c r="D282" s="88"/>
      <c r="E282" s="88"/>
      <c r="F282" s="88"/>
      <c r="G282" s="88"/>
      <c r="H282" s="88"/>
      <c r="I282" s="20" t="s">
        <v>47</v>
      </c>
      <c r="J282" s="13">
        <f>IFERROR(VLOOKUP(B281,TABLA1!$B$14:$BF$1596,26,FALSE),)</f>
        <v>0</v>
      </c>
      <c r="K282" s="13">
        <f>IFERROR(VLOOKUP(B281,TABLA1!$B$14:$BF$1596,38,FALSE),)</f>
        <v>0</v>
      </c>
      <c r="L282" s="13" t="str">
        <f>IFERROR(VLOOKUP(B282,TABLA1!$B$14:$BF$1596,26,FALSE),"-")</f>
        <v>-</v>
      </c>
      <c r="M282" s="13" t="str">
        <f>IFERROR(VLOOKUP(B282,TABLA1!$B$14:$BF$1596,38,FALSE),"-")</f>
        <v>-</v>
      </c>
    </row>
    <row r="283" spans="2:17" x14ac:dyDescent="0.25">
      <c r="C283" s="88"/>
      <c r="D283" s="88"/>
      <c r="E283" s="88"/>
      <c r="F283" s="88"/>
      <c r="G283" s="88"/>
      <c r="H283" s="88"/>
      <c r="I283" s="20" t="s">
        <v>10</v>
      </c>
      <c r="J283" s="16">
        <f>IFERROR(VLOOKUP(B281,TABLA1!$B$14:$BF$1596,28,FALSE),)</f>
        <v>0</v>
      </c>
      <c r="K283" s="16">
        <f>IFERROR(VLOOKUP(B281,TABLA1!$B$14:$BF$1596,40,FALSE),)</f>
        <v>0</v>
      </c>
      <c r="L283" s="13" t="str">
        <f>IFERROR(VLOOKUP(B282,TABLA1!$B$14:$BF$1596,28,FALSE),"-")</f>
        <v>-</v>
      </c>
      <c r="M283" s="13" t="str">
        <f>IFERROR(VLOOKUP(B282,TABLA1!$B$14:$BF$1596,40,FALSE),"-")</f>
        <v>-</v>
      </c>
    </row>
    <row r="284" spans="2:17" x14ac:dyDescent="0.25">
      <c r="C284" s="88"/>
      <c r="D284" s="88"/>
      <c r="E284" s="88"/>
      <c r="F284" s="88"/>
      <c r="G284" s="88"/>
      <c r="H284" s="88"/>
      <c r="I284" s="20" t="s">
        <v>11</v>
      </c>
      <c r="J284" s="13">
        <f>IFERROR(VLOOKUP(B281,TABLA1!$B$14:$BF$1596,29,FALSE),)</f>
        <v>0</v>
      </c>
      <c r="K284" s="13">
        <f>IFERROR(VLOOKUP(B281,TABLA1!$B$14:$BF$1596,41,FALSE),)</f>
        <v>0</v>
      </c>
      <c r="L284" s="13" t="str">
        <f>IFERROR(VLOOKUP(B282,TABLA1!$B$14:$BF$1596,29,FALSE),"-")</f>
        <v>-</v>
      </c>
      <c r="M284" s="13" t="str">
        <f>IFERROR(VLOOKUP(B282,TABLA1!$B$14:$BF$1596,41,FALSE),"-")</f>
        <v>-</v>
      </c>
    </row>
    <row r="285" spans="2:17" x14ac:dyDescent="0.25">
      <c r="C285" s="88"/>
      <c r="D285" s="88"/>
      <c r="E285" s="88"/>
      <c r="F285" s="88"/>
      <c r="G285" s="88"/>
      <c r="H285" s="88"/>
      <c r="I285" s="20" t="s">
        <v>48</v>
      </c>
      <c r="J285" s="16">
        <f>IFERROR(VLOOKUP(B281,TABLA1!$B$14:$BF$1596,31,FALSE),)</f>
        <v>0</v>
      </c>
      <c r="K285" s="16">
        <f>IFERROR(VLOOKUP(B281,TABLA1!$B$14:$BF$1596,43,FALSE),)</f>
        <v>0</v>
      </c>
      <c r="L285" s="13" t="str">
        <f>IFERROR(VLOOKUP(B282,TABLA1!$B$14:$BF$1596,31,FALSE),"-")</f>
        <v>-</v>
      </c>
      <c r="M285" s="13" t="str">
        <f>IFERROR(VLOOKUP(B282,TABLA1!$B$14:$BF$1596,43,FALSE),"-")</f>
        <v>-</v>
      </c>
      <c r="N285" s="3">
        <v>52</v>
      </c>
      <c r="O285" s="3">
        <v>61</v>
      </c>
      <c r="P285" s="3">
        <f t="shared" ref="P285:P290" si="46">N285-25</f>
        <v>27</v>
      </c>
      <c r="Q285" s="3">
        <f t="shared" ref="Q285:Q290" si="47">O285-25</f>
        <v>36</v>
      </c>
    </row>
    <row r="286" spans="2:17" x14ac:dyDescent="0.25">
      <c r="C286" s="88"/>
      <c r="D286" s="88"/>
      <c r="E286" s="88"/>
      <c r="F286" s="88"/>
      <c r="G286" s="88"/>
      <c r="H286" s="88"/>
      <c r="I286" s="20" t="s">
        <v>49</v>
      </c>
      <c r="J286" s="16">
        <f>IFERROR(VLOOKUP(B281,TABLA1!$B$14:$BF$1596,30,FALSE),)</f>
        <v>0</v>
      </c>
      <c r="K286" s="16">
        <f>IFERROR(VLOOKUP(B281,TABLA1!$B$14:$BF$1596,42,FALSE),)</f>
        <v>0</v>
      </c>
      <c r="L286" s="13" t="str">
        <f>IFERROR(VLOOKUP(B282,TABLA1!$B$14:$BF$1596,30,FALSE),"-")</f>
        <v>-</v>
      </c>
      <c r="M286" s="13" t="str">
        <f>IFERROR(VLOOKUP(B282,TABLA1!$B$14:$BF$1596,42,FALSE),"-")</f>
        <v>-</v>
      </c>
      <c r="N286" s="3">
        <v>53</v>
      </c>
      <c r="O286" s="3">
        <v>62</v>
      </c>
      <c r="P286" s="3">
        <f t="shared" si="46"/>
        <v>28</v>
      </c>
      <c r="Q286" s="3">
        <f t="shared" si="47"/>
        <v>37</v>
      </c>
    </row>
    <row r="287" spans="2:17" x14ac:dyDescent="0.25">
      <c r="C287" s="88"/>
      <c r="D287" s="88"/>
      <c r="E287" s="88"/>
      <c r="F287" s="88"/>
      <c r="G287" s="88"/>
      <c r="H287" s="88"/>
      <c r="I287" s="20" t="s">
        <v>33</v>
      </c>
      <c r="J287" s="16">
        <f>IFERROR(VLOOKUP(B281,TABLA1!$B$14:$BF$1596,32,FALSE),)</f>
        <v>0</v>
      </c>
      <c r="K287" s="16">
        <f>IFERROR(VLOOKUP(B281,TABLA1!$B$14:$BF$1596,44,FALSE),)</f>
        <v>0</v>
      </c>
      <c r="L287" s="13" t="str">
        <f>IFERROR(VLOOKUP(B282,TABLA1!$B$14:$BF$1596,32,FALSE),"-")</f>
        <v>-</v>
      </c>
      <c r="M287" s="13" t="str">
        <f>IFERROR(VLOOKUP(B282,TABLA1!$B$14:$BF$1596,44,FALSE),"-")</f>
        <v>-</v>
      </c>
      <c r="N287" s="3">
        <v>54</v>
      </c>
      <c r="O287" s="3">
        <v>63</v>
      </c>
      <c r="P287" s="3">
        <f t="shared" si="46"/>
        <v>29</v>
      </c>
      <c r="Q287" s="3">
        <f t="shared" si="47"/>
        <v>38</v>
      </c>
    </row>
    <row r="288" spans="2:17" x14ac:dyDescent="0.25">
      <c r="C288" s="88"/>
      <c r="D288" s="88"/>
      <c r="E288" s="88"/>
      <c r="F288" s="88"/>
      <c r="G288" s="88"/>
      <c r="H288" s="88"/>
      <c r="I288" s="20" t="s">
        <v>50</v>
      </c>
      <c r="J288" s="16">
        <f>IFERROR(VLOOKUP(B281,TABLA1!$B$14:$BF$1596,35,FALSE),)</f>
        <v>0</v>
      </c>
      <c r="K288" s="16">
        <f>IFERROR(VLOOKUP(B281,TABLA1!$B$14:$BF$1596,47,FALSE),)</f>
        <v>0</v>
      </c>
      <c r="L288" s="13" t="str">
        <f>IFERROR(VLOOKUP(B282,TABLA1!$B$14:$BF$1596,35,FALSE),"-")</f>
        <v>-</v>
      </c>
      <c r="M288" s="13" t="str">
        <f>IFERROR(VLOOKUP(B282,TABLA1!$B$14:$BF$1596,47,FALSE),"-")</f>
        <v>-</v>
      </c>
      <c r="N288" s="3">
        <v>56</v>
      </c>
      <c r="O288" s="3">
        <v>65</v>
      </c>
      <c r="P288" s="3">
        <f t="shared" si="46"/>
        <v>31</v>
      </c>
      <c r="Q288" s="3">
        <f t="shared" si="47"/>
        <v>40</v>
      </c>
    </row>
    <row r="289" spans="2:17" x14ac:dyDescent="0.25">
      <c r="C289" s="88"/>
      <c r="D289" s="88"/>
      <c r="E289" s="88"/>
      <c r="F289" s="88"/>
      <c r="G289" s="88"/>
      <c r="H289" s="88"/>
      <c r="I289" s="20" t="s">
        <v>51</v>
      </c>
      <c r="J289" s="16">
        <f>IFERROR(VLOOKUP(B281,TABLA1!$B$14:$BF$1596,34,FALSE),)</f>
        <v>0</v>
      </c>
      <c r="K289" s="16">
        <f>IFERROR(VLOOKUP(B281,TABLA1!$B$14:$BF$1596,46,FALSE),)</f>
        <v>0</v>
      </c>
      <c r="L289" s="13" t="str">
        <f>IFERROR(VLOOKUP(B282,TABLA1!$B$14:$BF$1596,34,FALSE),"-")</f>
        <v>-</v>
      </c>
      <c r="M289" s="13" t="str">
        <f>IFERROR(VLOOKUP(B282,TABLA1!$B$14:$BF$1596,46,FALSE),"-")</f>
        <v>-</v>
      </c>
      <c r="N289" s="3">
        <v>57</v>
      </c>
      <c r="O289" s="3">
        <v>66</v>
      </c>
      <c r="P289" s="3">
        <f t="shared" si="46"/>
        <v>32</v>
      </c>
      <c r="Q289" s="3">
        <f t="shared" si="47"/>
        <v>41</v>
      </c>
    </row>
    <row r="290" spans="2:17" x14ac:dyDescent="0.25">
      <c r="C290" s="88"/>
      <c r="D290" s="88"/>
      <c r="E290" s="88"/>
      <c r="F290" s="88"/>
      <c r="G290" s="88"/>
      <c r="H290" s="88"/>
      <c r="I290" s="20" t="s">
        <v>34</v>
      </c>
      <c r="J290" s="16">
        <f>IFERROR(VLOOKUP(B281,TABLA1!$B$14:$BF$1596,36,FALSE),)</f>
        <v>0</v>
      </c>
      <c r="K290" s="16">
        <f>IFERROR(VLOOKUP(B281,TABLA1!$B$14:$BF$1596,48,FALSE),)</f>
        <v>0</v>
      </c>
      <c r="L290" s="13" t="str">
        <f>IFERROR(VLOOKUP(B282,TABLA1!$B$14:$BF$1596,36,FALSE),"-")</f>
        <v>-</v>
      </c>
      <c r="M290" s="13" t="str">
        <f>IFERROR(VLOOKUP(B282,TABLA1!$B$14:$BF$1596,48,FALSE),"-")</f>
        <v>-</v>
      </c>
      <c r="N290" s="3">
        <v>59</v>
      </c>
      <c r="O290" s="3">
        <v>68</v>
      </c>
      <c r="P290" s="3">
        <f t="shared" si="46"/>
        <v>34</v>
      </c>
      <c r="Q290" s="3">
        <f t="shared" si="47"/>
        <v>43</v>
      </c>
    </row>
    <row r="291" spans="2:17" x14ac:dyDescent="0.25">
      <c r="C291" s="88"/>
      <c r="D291" s="88"/>
      <c r="E291" s="88"/>
      <c r="F291" s="88"/>
      <c r="G291" s="88"/>
      <c r="H291" s="88"/>
      <c r="I291" s="20" t="s">
        <v>35</v>
      </c>
      <c r="J291" s="16"/>
      <c r="K291" s="16"/>
      <c r="L291" s="13"/>
      <c r="M291" s="13"/>
    </row>
    <row r="292" spans="2:17" x14ac:dyDescent="0.25">
      <c r="C292" s="88"/>
      <c r="D292" s="88"/>
      <c r="E292" s="88"/>
      <c r="F292" s="88"/>
      <c r="G292" s="88"/>
      <c r="H292" s="88"/>
      <c r="I292" s="20" t="s">
        <v>36</v>
      </c>
      <c r="J292" s="13"/>
      <c r="K292" s="13"/>
      <c r="L292" s="13"/>
      <c r="M292" s="13"/>
    </row>
    <row r="293" spans="2:17" x14ac:dyDescent="0.25">
      <c r="B293" s="3">
        <f>TABLA1!B36</f>
        <v>0</v>
      </c>
      <c r="C293" s="88" t="e">
        <f>VLOOKUP(B293,TABLA1!$B$14:$BF$1596,2,FALSE)</f>
        <v>#N/A</v>
      </c>
      <c r="D293" s="88" t="e">
        <f>VLOOKUP(B293,TABLA1!$B$14:$BF$1596,3,FALSE)</f>
        <v>#N/A</v>
      </c>
      <c r="E293" s="88" t="e">
        <f>VLOOKUP(B293,TABLA1!$B$14:$BF$1596,4,FALSE)&amp;"/"&amp;VLOOKUP(B293,TABLA1!$B$14:$BF$1596,5,FALSE)</f>
        <v>#N/A</v>
      </c>
      <c r="F293" s="88" t="e">
        <f>VLOOKUP(B293,TABLA1!$B$14:$BF$1596,7,FALSE)</f>
        <v>#N/A</v>
      </c>
      <c r="G293" s="88"/>
      <c r="H293" s="88"/>
      <c r="I293" s="20" t="s">
        <v>46</v>
      </c>
      <c r="J293" s="16" t="str">
        <f>IFERROR(VLOOKUP(B293,TABLA1!$B$14:$BF$1596,27,FALSE),"")</f>
        <v/>
      </c>
      <c r="K293" s="16">
        <f>IFERROR(VLOOKUP(B293,TABLA1!$B$14:$BF$1596,39,FALSE),)</f>
        <v>0</v>
      </c>
      <c r="L293" s="13" t="str">
        <f>IFERROR(VLOOKUP(B294,TABLA1!$B$14:$BF$1596,27,FALSE),"-")</f>
        <v>-</v>
      </c>
      <c r="M293" s="13" t="str">
        <f>IFERROR(VLOOKUP(B294,TABLA1!$B$14:$BF$1596,39,FALSE),"-")</f>
        <v>-</v>
      </c>
      <c r="N293" s="3">
        <v>51</v>
      </c>
      <c r="O293" s="3">
        <v>60</v>
      </c>
      <c r="P293" s="3">
        <f>N293-25</f>
        <v>26</v>
      </c>
      <c r="Q293" s="3">
        <f>O293-25</f>
        <v>35</v>
      </c>
    </row>
    <row r="294" spans="2:17" x14ac:dyDescent="0.25">
      <c r="C294" s="88"/>
      <c r="D294" s="88"/>
      <c r="E294" s="88"/>
      <c r="F294" s="88"/>
      <c r="G294" s="88"/>
      <c r="H294" s="88"/>
      <c r="I294" s="20" t="s">
        <v>47</v>
      </c>
      <c r="J294" s="13">
        <f>IFERROR(VLOOKUP(B293,TABLA1!$B$14:$BF$1596,26,FALSE),)</f>
        <v>0</v>
      </c>
      <c r="K294" s="13">
        <f>IFERROR(VLOOKUP(B293,TABLA1!$B$14:$BF$1596,38,FALSE),)</f>
        <v>0</v>
      </c>
      <c r="L294" s="13" t="str">
        <f>IFERROR(VLOOKUP(B294,TABLA1!$B$14:$BF$1596,26,FALSE),"-")</f>
        <v>-</v>
      </c>
      <c r="M294" s="13" t="str">
        <f>IFERROR(VLOOKUP(B294,TABLA1!$B$14:$BF$1596,38,FALSE),"-")</f>
        <v>-</v>
      </c>
    </row>
    <row r="295" spans="2:17" x14ac:dyDescent="0.25">
      <c r="C295" s="88"/>
      <c r="D295" s="88"/>
      <c r="E295" s="88"/>
      <c r="F295" s="88"/>
      <c r="G295" s="88"/>
      <c r="H295" s="88"/>
      <c r="I295" s="20" t="s">
        <v>10</v>
      </c>
      <c r="J295" s="16">
        <f>IFERROR(VLOOKUP(B293,TABLA1!$B$14:$BF$1596,28,FALSE),)</f>
        <v>0</v>
      </c>
      <c r="K295" s="16">
        <f>IFERROR(VLOOKUP(B293,TABLA1!$B$14:$BF$1596,40,FALSE),)</f>
        <v>0</v>
      </c>
      <c r="L295" s="13" t="str">
        <f>IFERROR(VLOOKUP(B294,TABLA1!$B$14:$BF$1596,28,FALSE),"-")</f>
        <v>-</v>
      </c>
      <c r="M295" s="13" t="str">
        <f>IFERROR(VLOOKUP(B294,TABLA1!$B$14:$BF$1596,40,FALSE),"-")</f>
        <v>-</v>
      </c>
    </row>
    <row r="296" spans="2:17" x14ac:dyDescent="0.25">
      <c r="C296" s="88"/>
      <c r="D296" s="88"/>
      <c r="E296" s="88"/>
      <c r="F296" s="88"/>
      <c r="G296" s="88"/>
      <c r="H296" s="88"/>
      <c r="I296" s="20" t="s">
        <v>11</v>
      </c>
      <c r="J296" s="13">
        <f>IFERROR(VLOOKUP(B293,TABLA1!$B$14:$BF$1596,29,FALSE),)</f>
        <v>0</v>
      </c>
      <c r="K296" s="13">
        <f>IFERROR(VLOOKUP(B293,TABLA1!$B$14:$BF$1596,41,FALSE),)</f>
        <v>0</v>
      </c>
      <c r="L296" s="13" t="str">
        <f>IFERROR(VLOOKUP(B294,TABLA1!$B$14:$BF$1596,29,FALSE),"-")</f>
        <v>-</v>
      </c>
      <c r="M296" s="13" t="str">
        <f>IFERROR(VLOOKUP(B294,TABLA1!$B$14:$BF$1596,41,FALSE),"-")</f>
        <v>-</v>
      </c>
    </row>
    <row r="297" spans="2:17" x14ac:dyDescent="0.25">
      <c r="C297" s="88"/>
      <c r="D297" s="88"/>
      <c r="E297" s="88"/>
      <c r="F297" s="88"/>
      <c r="G297" s="88"/>
      <c r="H297" s="88"/>
      <c r="I297" s="20" t="s">
        <v>48</v>
      </c>
      <c r="J297" s="16">
        <f>IFERROR(VLOOKUP(B293,TABLA1!$B$14:$BF$1596,31,FALSE),)</f>
        <v>0</v>
      </c>
      <c r="K297" s="16">
        <f>IFERROR(VLOOKUP(B293,TABLA1!$B$14:$BF$1596,43,FALSE),)</f>
        <v>0</v>
      </c>
      <c r="L297" s="13" t="str">
        <f>IFERROR(VLOOKUP(B294,TABLA1!$B$14:$BF$1596,31,FALSE),"-")</f>
        <v>-</v>
      </c>
      <c r="M297" s="13" t="str">
        <f>IFERROR(VLOOKUP(B294,TABLA1!$B$14:$BF$1596,43,FALSE),"-")</f>
        <v>-</v>
      </c>
      <c r="N297" s="3">
        <v>52</v>
      </c>
      <c r="O297" s="3">
        <v>61</v>
      </c>
      <c r="P297" s="3">
        <f t="shared" ref="P297:P302" si="48">N297-25</f>
        <v>27</v>
      </c>
      <c r="Q297" s="3">
        <f t="shared" ref="Q297:Q302" si="49">O297-25</f>
        <v>36</v>
      </c>
    </row>
    <row r="298" spans="2:17" x14ac:dyDescent="0.25">
      <c r="C298" s="88"/>
      <c r="D298" s="88"/>
      <c r="E298" s="88"/>
      <c r="F298" s="88"/>
      <c r="G298" s="88"/>
      <c r="H298" s="88"/>
      <c r="I298" s="20" t="s">
        <v>49</v>
      </c>
      <c r="J298" s="16">
        <f>IFERROR(VLOOKUP(B293,TABLA1!$B$14:$BF$1596,30,FALSE),)</f>
        <v>0</v>
      </c>
      <c r="K298" s="16">
        <f>IFERROR(VLOOKUP(B293,TABLA1!$B$14:$BF$1596,42,FALSE),)</f>
        <v>0</v>
      </c>
      <c r="L298" s="13" t="str">
        <f>IFERROR(VLOOKUP(B294,TABLA1!$B$14:$BF$1596,30,FALSE),"-")</f>
        <v>-</v>
      </c>
      <c r="M298" s="13" t="str">
        <f>IFERROR(VLOOKUP(B294,TABLA1!$B$14:$BF$1596,42,FALSE),"-")</f>
        <v>-</v>
      </c>
      <c r="N298" s="3">
        <v>53</v>
      </c>
      <c r="O298" s="3">
        <v>62</v>
      </c>
      <c r="P298" s="3">
        <f t="shared" si="48"/>
        <v>28</v>
      </c>
      <c r="Q298" s="3">
        <f t="shared" si="49"/>
        <v>37</v>
      </c>
    </row>
    <row r="299" spans="2:17" x14ac:dyDescent="0.25">
      <c r="C299" s="88"/>
      <c r="D299" s="88"/>
      <c r="E299" s="88"/>
      <c r="F299" s="88"/>
      <c r="G299" s="88"/>
      <c r="H299" s="88"/>
      <c r="I299" s="20" t="s">
        <v>33</v>
      </c>
      <c r="J299" s="16">
        <f>IFERROR(VLOOKUP(B293,TABLA1!$B$14:$BF$1596,32,FALSE),)</f>
        <v>0</v>
      </c>
      <c r="K299" s="16">
        <f>IFERROR(VLOOKUP(B293,TABLA1!$B$14:$BF$1596,44,FALSE),)</f>
        <v>0</v>
      </c>
      <c r="L299" s="13" t="str">
        <f>IFERROR(VLOOKUP(B294,TABLA1!$B$14:$BF$1596,32,FALSE),"-")</f>
        <v>-</v>
      </c>
      <c r="M299" s="13" t="str">
        <f>IFERROR(VLOOKUP(B294,TABLA1!$B$14:$BF$1596,44,FALSE),"-")</f>
        <v>-</v>
      </c>
      <c r="N299" s="3">
        <v>54</v>
      </c>
      <c r="O299" s="3">
        <v>63</v>
      </c>
      <c r="P299" s="3">
        <f t="shared" si="48"/>
        <v>29</v>
      </c>
      <c r="Q299" s="3">
        <f t="shared" si="49"/>
        <v>38</v>
      </c>
    </row>
    <row r="300" spans="2:17" x14ac:dyDescent="0.25">
      <c r="C300" s="88"/>
      <c r="D300" s="88"/>
      <c r="E300" s="88"/>
      <c r="F300" s="88"/>
      <c r="G300" s="88"/>
      <c r="H300" s="88"/>
      <c r="I300" s="20" t="s">
        <v>50</v>
      </c>
      <c r="J300" s="16">
        <f>IFERROR(VLOOKUP(B293,TABLA1!$B$14:$BF$1596,35,FALSE),)</f>
        <v>0</v>
      </c>
      <c r="K300" s="16">
        <f>IFERROR(VLOOKUP(B293,TABLA1!$B$14:$BF$1596,47,FALSE),)</f>
        <v>0</v>
      </c>
      <c r="L300" s="13" t="str">
        <f>IFERROR(VLOOKUP(B294,TABLA1!$B$14:$BF$1596,35,FALSE),"-")</f>
        <v>-</v>
      </c>
      <c r="M300" s="13" t="str">
        <f>IFERROR(VLOOKUP(B294,TABLA1!$B$14:$BF$1596,47,FALSE),"-")</f>
        <v>-</v>
      </c>
      <c r="N300" s="3">
        <v>56</v>
      </c>
      <c r="O300" s="3">
        <v>65</v>
      </c>
      <c r="P300" s="3">
        <f t="shared" si="48"/>
        <v>31</v>
      </c>
      <c r="Q300" s="3">
        <f t="shared" si="49"/>
        <v>40</v>
      </c>
    </row>
    <row r="301" spans="2:17" x14ac:dyDescent="0.25">
      <c r="C301" s="88"/>
      <c r="D301" s="88"/>
      <c r="E301" s="88"/>
      <c r="F301" s="88"/>
      <c r="G301" s="88"/>
      <c r="H301" s="88"/>
      <c r="I301" s="20" t="s">
        <v>51</v>
      </c>
      <c r="J301" s="16">
        <f>IFERROR(VLOOKUP(B293,TABLA1!$B$14:$BF$1596,34,FALSE),)</f>
        <v>0</v>
      </c>
      <c r="K301" s="16">
        <f>IFERROR(VLOOKUP(B293,TABLA1!$B$14:$BF$1596,46,FALSE),)</f>
        <v>0</v>
      </c>
      <c r="L301" s="13" t="str">
        <f>IFERROR(VLOOKUP(B294,TABLA1!$B$14:$BF$1596,34,FALSE),"-")</f>
        <v>-</v>
      </c>
      <c r="M301" s="13" t="str">
        <f>IFERROR(VLOOKUP(B294,TABLA1!$B$14:$BF$1596,46,FALSE),"-")</f>
        <v>-</v>
      </c>
      <c r="N301" s="3">
        <v>57</v>
      </c>
      <c r="O301" s="3">
        <v>66</v>
      </c>
      <c r="P301" s="3">
        <f t="shared" si="48"/>
        <v>32</v>
      </c>
      <c r="Q301" s="3">
        <f t="shared" si="49"/>
        <v>41</v>
      </c>
    </row>
    <row r="302" spans="2:17" x14ac:dyDescent="0.25">
      <c r="C302" s="88"/>
      <c r="D302" s="88"/>
      <c r="E302" s="88"/>
      <c r="F302" s="88"/>
      <c r="G302" s="88"/>
      <c r="H302" s="88"/>
      <c r="I302" s="20" t="s">
        <v>34</v>
      </c>
      <c r="J302" s="16">
        <f>IFERROR(VLOOKUP(B293,TABLA1!$B$14:$BF$1596,36,FALSE),)</f>
        <v>0</v>
      </c>
      <c r="K302" s="16">
        <f>IFERROR(VLOOKUP(B293,TABLA1!$B$14:$BF$1596,48,FALSE),)</f>
        <v>0</v>
      </c>
      <c r="L302" s="13" t="str">
        <f>IFERROR(VLOOKUP(B294,TABLA1!$B$14:$BF$1596,36,FALSE),"-")</f>
        <v>-</v>
      </c>
      <c r="M302" s="13" t="str">
        <f>IFERROR(VLOOKUP(B294,TABLA1!$B$14:$BF$1596,48,FALSE),"-")</f>
        <v>-</v>
      </c>
      <c r="N302" s="3">
        <v>59</v>
      </c>
      <c r="O302" s="3">
        <v>68</v>
      </c>
      <c r="P302" s="3">
        <f t="shared" si="48"/>
        <v>34</v>
      </c>
      <c r="Q302" s="3">
        <f t="shared" si="49"/>
        <v>43</v>
      </c>
    </row>
    <row r="303" spans="2:17" x14ac:dyDescent="0.25">
      <c r="C303" s="88"/>
      <c r="D303" s="88"/>
      <c r="E303" s="88"/>
      <c r="F303" s="88"/>
      <c r="G303" s="88"/>
      <c r="H303" s="88"/>
      <c r="I303" s="20" t="s">
        <v>35</v>
      </c>
      <c r="J303" s="16"/>
      <c r="K303" s="16"/>
      <c r="L303" s="13"/>
      <c r="M303" s="13"/>
    </row>
    <row r="304" spans="2:17" x14ac:dyDescent="0.25">
      <c r="C304" s="88"/>
      <c r="D304" s="88"/>
      <c r="E304" s="88"/>
      <c r="F304" s="88"/>
      <c r="G304" s="88"/>
      <c r="H304" s="88"/>
      <c r="I304" s="20" t="s">
        <v>36</v>
      </c>
      <c r="J304" s="13"/>
      <c r="K304" s="13"/>
      <c r="L304" s="13"/>
      <c r="M304" s="13"/>
    </row>
    <row r="305" spans="2:17" x14ac:dyDescent="0.25">
      <c r="B305" s="3">
        <f>TABLA1!B37</f>
        <v>0</v>
      </c>
      <c r="C305" s="88" t="e">
        <f>VLOOKUP(B305,TABLA1!$B$14:$BF$1596,2,FALSE)</f>
        <v>#N/A</v>
      </c>
      <c r="D305" s="88" t="e">
        <f>VLOOKUP(B305,TABLA1!$B$14:$BF$1596,3,FALSE)</f>
        <v>#N/A</v>
      </c>
      <c r="E305" s="88" t="e">
        <f>VLOOKUP(B305,TABLA1!$B$14:$BF$1596,4,FALSE)&amp;"/"&amp;VLOOKUP(B305,TABLA1!$B$14:$BF$1596,5,FALSE)</f>
        <v>#N/A</v>
      </c>
      <c r="F305" s="88" t="e">
        <f>VLOOKUP(B305,TABLA1!$B$14:$BF$1596,7,FALSE)</f>
        <v>#N/A</v>
      </c>
      <c r="G305" s="88"/>
      <c r="H305" s="88"/>
      <c r="I305" s="20" t="s">
        <v>46</v>
      </c>
      <c r="J305" s="16" t="str">
        <f>IFERROR(VLOOKUP(B305,TABLA1!$B$14:$BF$1596,27,FALSE),"")</f>
        <v/>
      </c>
      <c r="K305" s="16">
        <f>IFERROR(VLOOKUP(B305,TABLA1!$B$14:$BF$1596,39,FALSE),)</f>
        <v>0</v>
      </c>
      <c r="L305" s="13" t="str">
        <f>IFERROR(VLOOKUP(B306,TABLA1!$B$14:$BF$1596,27,FALSE),"-")</f>
        <v>-</v>
      </c>
      <c r="M305" s="13" t="str">
        <f>IFERROR(VLOOKUP(B306,TABLA1!$B$14:$BF$1596,39,FALSE),"-")</f>
        <v>-</v>
      </c>
      <c r="N305" s="3">
        <v>51</v>
      </c>
      <c r="O305" s="3">
        <v>60</v>
      </c>
      <c r="P305" s="3">
        <f>N305-25</f>
        <v>26</v>
      </c>
      <c r="Q305" s="3">
        <f>O305-25</f>
        <v>35</v>
      </c>
    </row>
    <row r="306" spans="2:17" x14ac:dyDescent="0.25">
      <c r="C306" s="88"/>
      <c r="D306" s="88"/>
      <c r="E306" s="88"/>
      <c r="F306" s="88"/>
      <c r="G306" s="88"/>
      <c r="H306" s="88"/>
      <c r="I306" s="20" t="s">
        <v>47</v>
      </c>
      <c r="J306" s="13">
        <f>IFERROR(VLOOKUP(B305,TABLA1!$B$14:$BF$1596,26,FALSE),)</f>
        <v>0</v>
      </c>
      <c r="K306" s="13">
        <f>IFERROR(VLOOKUP(B305,TABLA1!$B$14:$BF$1596,38,FALSE),)</f>
        <v>0</v>
      </c>
      <c r="L306" s="13" t="str">
        <f>IFERROR(VLOOKUP(B306,TABLA1!$B$14:$BF$1596,26,FALSE),"-")</f>
        <v>-</v>
      </c>
      <c r="M306" s="13" t="str">
        <f>IFERROR(VLOOKUP(B306,TABLA1!$B$14:$BF$1596,38,FALSE),"-")</f>
        <v>-</v>
      </c>
    </row>
    <row r="307" spans="2:17" x14ac:dyDescent="0.25">
      <c r="C307" s="88"/>
      <c r="D307" s="88"/>
      <c r="E307" s="88"/>
      <c r="F307" s="88"/>
      <c r="G307" s="88"/>
      <c r="H307" s="88"/>
      <c r="I307" s="20" t="s">
        <v>10</v>
      </c>
      <c r="J307" s="16">
        <f>IFERROR(VLOOKUP(B305,TABLA1!$B$14:$BF$1596,28,FALSE),)</f>
        <v>0</v>
      </c>
      <c r="K307" s="16">
        <f>IFERROR(VLOOKUP(B305,TABLA1!$B$14:$BF$1596,40,FALSE),)</f>
        <v>0</v>
      </c>
      <c r="L307" s="13" t="str">
        <f>IFERROR(VLOOKUP(B306,TABLA1!$B$14:$BF$1596,28,FALSE),"-")</f>
        <v>-</v>
      </c>
      <c r="M307" s="13" t="str">
        <f>IFERROR(VLOOKUP(B306,TABLA1!$B$14:$BF$1596,40,FALSE),"-")</f>
        <v>-</v>
      </c>
    </row>
    <row r="308" spans="2:17" x14ac:dyDescent="0.25">
      <c r="C308" s="88"/>
      <c r="D308" s="88"/>
      <c r="E308" s="88"/>
      <c r="F308" s="88"/>
      <c r="G308" s="88"/>
      <c r="H308" s="88"/>
      <c r="I308" s="20" t="s">
        <v>11</v>
      </c>
      <c r="J308" s="13">
        <f>IFERROR(VLOOKUP(B305,TABLA1!$B$14:$BF$1596,29,FALSE),)</f>
        <v>0</v>
      </c>
      <c r="K308" s="13">
        <f>IFERROR(VLOOKUP(B305,TABLA1!$B$14:$BF$1596,41,FALSE),)</f>
        <v>0</v>
      </c>
      <c r="L308" s="13" t="str">
        <f>IFERROR(VLOOKUP(B306,TABLA1!$B$14:$BF$1596,29,FALSE),"-")</f>
        <v>-</v>
      </c>
      <c r="M308" s="13" t="str">
        <f>IFERROR(VLOOKUP(B306,TABLA1!$B$14:$BF$1596,41,FALSE),"-")</f>
        <v>-</v>
      </c>
    </row>
    <row r="309" spans="2:17" x14ac:dyDescent="0.25">
      <c r="C309" s="88"/>
      <c r="D309" s="88"/>
      <c r="E309" s="88"/>
      <c r="F309" s="88"/>
      <c r="G309" s="88"/>
      <c r="H309" s="88"/>
      <c r="I309" s="20" t="s">
        <v>48</v>
      </c>
      <c r="J309" s="16">
        <f>IFERROR(VLOOKUP(B305,TABLA1!$B$14:$BF$1596,31,FALSE),)</f>
        <v>0</v>
      </c>
      <c r="K309" s="16">
        <f>IFERROR(VLOOKUP(B305,TABLA1!$B$14:$BF$1596,43,FALSE),)</f>
        <v>0</v>
      </c>
      <c r="L309" s="13" t="str">
        <f>IFERROR(VLOOKUP(B306,TABLA1!$B$14:$BF$1596,31,FALSE),"-")</f>
        <v>-</v>
      </c>
      <c r="M309" s="13" t="str">
        <f>IFERROR(VLOOKUP(B306,TABLA1!$B$14:$BF$1596,43,FALSE),"-")</f>
        <v>-</v>
      </c>
      <c r="N309" s="3">
        <v>52</v>
      </c>
      <c r="O309" s="3">
        <v>61</v>
      </c>
      <c r="P309" s="3">
        <f t="shared" ref="P309:P314" si="50">N309-25</f>
        <v>27</v>
      </c>
      <c r="Q309" s="3">
        <f t="shared" ref="Q309:Q314" si="51">O309-25</f>
        <v>36</v>
      </c>
    </row>
    <row r="310" spans="2:17" x14ac:dyDescent="0.25">
      <c r="C310" s="88"/>
      <c r="D310" s="88"/>
      <c r="E310" s="88"/>
      <c r="F310" s="88"/>
      <c r="G310" s="88"/>
      <c r="H310" s="88"/>
      <c r="I310" s="20" t="s">
        <v>49</v>
      </c>
      <c r="J310" s="16">
        <f>IFERROR(VLOOKUP(B305,TABLA1!$B$14:$BF$1596,30,FALSE),)</f>
        <v>0</v>
      </c>
      <c r="K310" s="16">
        <f>IFERROR(VLOOKUP(B305,TABLA1!$B$14:$BF$1596,42,FALSE),)</f>
        <v>0</v>
      </c>
      <c r="L310" s="13" t="str">
        <f>IFERROR(VLOOKUP(B306,TABLA1!$B$14:$BF$1596,30,FALSE),"-")</f>
        <v>-</v>
      </c>
      <c r="M310" s="13" t="str">
        <f>IFERROR(VLOOKUP(B306,TABLA1!$B$14:$BF$1596,42,FALSE),"-")</f>
        <v>-</v>
      </c>
      <c r="N310" s="3">
        <v>53</v>
      </c>
      <c r="O310" s="3">
        <v>62</v>
      </c>
      <c r="P310" s="3">
        <f t="shared" si="50"/>
        <v>28</v>
      </c>
      <c r="Q310" s="3">
        <f t="shared" si="51"/>
        <v>37</v>
      </c>
    </row>
    <row r="311" spans="2:17" x14ac:dyDescent="0.25">
      <c r="C311" s="88"/>
      <c r="D311" s="88"/>
      <c r="E311" s="88"/>
      <c r="F311" s="88"/>
      <c r="G311" s="88"/>
      <c r="H311" s="88"/>
      <c r="I311" s="20" t="s">
        <v>33</v>
      </c>
      <c r="J311" s="16">
        <f>IFERROR(VLOOKUP(B305,TABLA1!$B$14:$BF$1596,32,FALSE),)</f>
        <v>0</v>
      </c>
      <c r="K311" s="16">
        <f>IFERROR(VLOOKUP(B305,TABLA1!$B$14:$BF$1596,44,FALSE),)</f>
        <v>0</v>
      </c>
      <c r="L311" s="13" t="str">
        <f>IFERROR(VLOOKUP(B306,TABLA1!$B$14:$BF$1596,32,FALSE),"-")</f>
        <v>-</v>
      </c>
      <c r="M311" s="13" t="str">
        <f>IFERROR(VLOOKUP(B306,TABLA1!$B$14:$BF$1596,44,FALSE),"-")</f>
        <v>-</v>
      </c>
      <c r="N311" s="3">
        <v>54</v>
      </c>
      <c r="O311" s="3">
        <v>63</v>
      </c>
      <c r="P311" s="3">
        <f t="shared" si="50"/>
        <v>29</v>
      </c>
      <c r="Q311" s="3">
        <f t="shared" si="51"/>
        <v>38</v>
      </c>
    </row>
    <row r="312" spans="2:17" x14ac:dyDescent="0.25">
      <c r="C312" s="88"/>
      <c r="D312" s="88"/>
      <c r="E312" s="88"/>
      <c r="F312" s="88"/>
      <c r="G312" s="88"/>
      <c r="H312" s="88"/>
      <c r="I312" s="20" t="s">
        <v>50</v>
      </c>
      <c r="J312" s="16">
        <f>IFERROR(VLOOKUP(B305,TABLA1!$B$14:$BF$1596,35,FALSE),)</f>
        <v>0</v>
      </c>
      <c r="K312" s="16">
        <f>IFERROR(VLOOKUP(B305,TABLA1!$B$14:$BF$1596,47,FALSE),)</f>
        <v>0</v>
      </c>
      <c r="L312" s="13" t="str">
        <f>IFERROR(VLOOKUP(B306,TABLA1!$B$14:$BF$1596,35,FALSE),"-")</f>
        <v>-</v>
      </c>
      <c r="M312" s="13" t="str">
        <f>IFERROR(VLOOKUP(B306,TABLA1!$B$14:$BF$1596,47,FALSE),"-")</f>
        <v>-</v>
      </c>
      <c r="N312" s="3">
        <v>56</v>
      </c>
      <c r="O312" s="3">
        <v>65</v>
      </c>
      <c r="P312" s="3">
        <f t="shared" si="50"/>
        <v>31</v>
      </c>
      <c r="Q312" s="3">
        <f t="shared" si="51"/>
        <v>40</v>
      </c>
    </row>
    <row r="313" spans="2:17" x14ac:dyDescent="0.25">
      <c r="C313" s="88"/>
      <c r="D313" s="88"/>
      <c r="E313" s="88"/>
      <c r="F313" s="88"/>
      <c r="G313" s="88"/>
      <c r="H313" s="88"/>
      <c r="I313" s="20" t="s">
        <v>51</v>
      </c>
      <c r="J313" s="16">
        <f>IFERROR(VLOOKUP(B305,TABLA1!$B$14:$BF$1596,34,FALSE),)</f>
        <v>0</v>
      </c>
      <c r="K313" s="16">
        <f>IFERROR(VLOOKUP(B305,TABLA1!$B$14:$BF$1596,46,FALSE),)</f>
        <v>0</v>
      </c>
      <c r="L313" s="13" t="str">
        <f>IFERROR(VLOOKUP(B306,TABLA1!$B$14:$BF$1596,34,FALSE),"-")</f>
        <v>-</v>
      </c>
      <c r="M313" s="13" t="str">
        <f>IFERROR(VLOOKUP(B306,TABLA1!$B$14:$BF$1596,46,FALSE),"-")</f>
        <v>-</v>
      </c>
      <c r="N313" s="3">
        <v>57</v>
      </c>
      <c r="O313" s="3">
        <v>66</v>
      </c>
      <c r="P313" s="3">
        <f t="shared" si="50"/>
        <v>32</v>
      </c>
      <c r="Q313" s="3">
        <f t="shared" si="51"/>
        <v>41</v>
      </c>
    </row>
    <row r="314" spans="2:17" x14ac:dyDescent="0.25">
      <c r="C314" s="88"/>
      <c r="D314" s="88"/>
      <c r="E314" s="88"/>
      <c r="F314" s="88"/>
      <c r="G314" s="88"/>
      <c r="H314" s="88"/>
      <c r="I314" s="20" t="s">
        <v>34</v>
      </c>
      <c r="J314" s="16">
        <f>IFERROR(VLOOKUP(B305,TABLA1!$B$14:$BF$1596,36,FALSE),)</f>
        <v>0</v>
      </c>
      <c r="K314" s="16">
        <f>IFERROR(VLOOKUP(B305,TABLA1!$B$14:$BF$1596,48,FALSE),)</f>
        <v>0</v>
      </c>
      <c r="L314" s="13" t="str">
        <f>IFERROR(VLOOKUP(B306,TABLA1!$B$14:$BF$1596,36,FALSE),"-")</f>
        <v>-</v>
      </c>
      <c r="M314" s="13" t="str">
        <f>IFERROR(VLOOKUP(B306,TABLA1!$B$14:$BF$1596,48,FALSE),"-")</f>
        <v>-</v>
      </c>
      <c r="N314" s="3">
        <v>59</v>
      </c>
      <c r="O314" s="3">
        <v>68</v>
      </c>
      <c r="P314" s="3">
        <f t="shared" si="50"/>
        <v>34</v>
      </c>
      <c r="Q314" s="3">
        <f t="shared" si="51"/>
        <v>43</v>
      </c>
    </row>
    <row r="315" spans="2:17" x14ac:dyDescent="0.25">
      <c r="C315" s="88"/>
      <c r="D315" s="88"/>
      <c r="E315" s="88"/>
      <c r="F315" s="88"/>
      <c r="G315" s="88"/>
      <c r="H315" s="88"/>
      <c r="I315" s="20" t="s">
        <v>35</v>
      </c>
      <c r="J315" s="16"/>
      <c r="K315" s="16"/>
      <c r="L315" s="13"/>
      <c r="M315" s="13"/>
    </row>
    <row r="316" spans="2:17" x14ac:dyDescent="0.25">
      <c r="C316" s="88"/>
      <c r="D316" s="88"/>
      <c r="E316" s="88"/>
      <c r="F316" s="88"/>
      <c r="G316" s="88"/>
      <c r="H316" s="88"/>
      <c r="I316" s="20" t="s">
        <v>36</v>
      </c>
      <c r="J316" s="13"/>
      <c r="K316" s="13"/>
      <c r="L316" s="13"/>
      <c r="M316" s="13"/>
    </row>
    <row r="317" spans="2:17" x14ac:dyDescent="0.25">
      <c r="B317" s="3">
        <f>TABLA1!B38</f>
        <v>0</v>
      </c>
      <c r="C317" s="88" t="e">
        <f>VLOOKUP(B317,TABLA1!$B$14:$BF$1596,2,FALSE)</f>
        <v>#N/A</v>
      </c>
      <c r="D317" s="88" t="e">
        <f>VLOOKUP(B317,TABLA1!$B$14:$BF$1596,3,FALSE)</f>
        <v>#N/A</v>
      </c>
      <c r="E317" s="88" t="e">
        <f>VLOOKUP(B317,TABLA1!$B$14:$BF$1596,4,FALSE)&amp;"/"&amp;VLOOKUP(B317,TABLA1!$B$14:$BF$1596,5,FALSE)</f>
        <v>#N/A</v>
      </c>
      <c r="F317" s="88" t="e">
        <f>VLOOKUP(B317,TABLA1!$B$14:$BF$1596,7,FALSE)</f>
        <v>#N/A</v>
      </c>
      <c r="G317" s="88"/>
      <c r="H317" s="88"/>
      <c r="I317" s="20" t="s">
        <v>46</v>
      </c>
      <c r="J317" s="16" t="str">
        <f>IFERROR(VLOOKUP(B317,TABLA1!$B$14:$BF$1596,27,FALSE),"")</f>
        <v/>
      </c>
      <c r="K317" s="16">
        <f>IFERROR(VLOOKUP(B317,TABLA1!$B$14:$BF$1596,39,FALSE),)</f>
        <v>0</v>
      </c>
      <c r="L317" s="13" t="str">
        <f>IFERROR(VLOOKUP(B318,TABLA1!$B$14:$BF$1596,27,FALSE),"-")</f>
        <v>-</v>
      </c>
      <c r="M317" s="13" t="str">
        <f>IFERROR(VLOOKUP(B318,TABLA1!$B$14:$BF$1596,39,FALSE),"-")</f>
        <v>-</v>
      </c>
      <c r="N317" s="3">
        <v>51</v>
      </c>
      <c r="O317" s="3">
        <v>60</v>
      </c>
      <c r="P317" s="3">
        <f>N317-25</f>
        <v>26</v>
      </c>
      <c r="Q317" s="3">
        <f>O317-25</f>
        <v>35</v>
      </c>
    </row>
    <row r="318" spans="2:17" x14ac:dyDescent="0.25">
      <c r="C318" s="88"/>
      <c r="D318" s="88"/>
      <c r="E318" s="88"/>
      <c r="F318" s="88"/>
      <c r="G318" s="88"/>
      <c r="H318" s="88"/>
      <c r="I318" s="20" t="s">
        <v>47</v>
      </c>
      <c r="J318" s="13">
        <f>IFERROR(VLOOKUP(B317,TABLA1!$B$14:$BF$1596,26,FALSE),)</f>
        <v>0</v>
      </c>
      <c r="K318" s="13">
        <f>IFERROR(VLOOKUP(B317,TABLA1!$B$14:$BF$1596,38,FALSE),)</f>
        <v>0</v>
      </c>
      <c r="L318" s="13" t="str">
        <f>IFERROR(VLOOKUP(B318,TABLA1!$B$14:$BF$1596,26,FALSE),"-")</f>
        <v>-</v>
      </c>
      <c r="M318" s="13" t="str">
        <f>IFERROR(VLOOKUP(B318,TABLA1!$B$14:$BF$1596,38,FALSE),"-")</f>
        <v>-</v>
      </c>
    </row>
    <row r="319" spans="2:17" x14ac:dyDescent="0.25">
      <c r="C319" s="88"/>
      <c r="D319" s="88"/>
      <c r="E319" s="88"/>
      <c r="F319" s="88"/>
      <c r="G319" s="88"/>
      <c r="H319" s="88"/>
      <c r="I319" s="20" t="s">
        <v>10</v>
      </c>
      <c r="J319" s="16">
        <f>IFERROR(VLOOKUP(B317,TABLA1!$B$14:$BF$1596,28,FALSE),)</f>
        <v>0</v>
      </c>
      <c r="K319" s="16">
        <f>IFERROR(VLOOKUP(B317,TABLA1!$B$14:$BF$1596,40,FALSE),)</f>
        <v>0</v>
      </c>
      <c r="L319" s="13" t="str">
        <f>IFERROR(VLOOKUP(B318,TABLA1!$B$14:$BF$1596,28,FALSE),"-")</f>
        <v>-</v>
      </c>
      <c r="M319" s="13" t="str">
        <f>IFERROR(VLOOKUP(B318,TABLA1!$B$14:$BF$1596,40,FALSE),"-")</f>
        <v>-</v>
      </c>
    </row>
    <row r="320" spans="2:17" x14ac:dyDescent="0.25">
      <c r="C320" s="88"/>
      <c r="D320" s="88"/>
      <c r="E320" s="88"/>
      <c r="F320" s="88"/>
      <c r="G320" s="88"/>
      <c r="H320" s="88"/>
      <c r="I320" s="20" t="s">
        <v>11</v>
      </c>
      <c r="J320" s="13">
        <f>IFERROR(VLOOKUP(B317,TABLA1!$B$14:$BF$1596,29,FALSE),)</f>
        <v>0</v>
      </c>
      <c r="K320" s="13">
        <f>IFERROR(VLOOKUP(B317,TABLA1!$B$14:$BF$1596,41,FALSE),)</f>
        <v>0</v>
      </c>
      <c r="L320" s="13" t="str">
        <f>IFERROR(VLOOKUP(B318,TABLA1!$B$14:$BF$1596,29,FALSE),"-")</f>
        <v>-</v>
      </c>
      <c r="M320" s="13" t="str">
        <f>IFERROR(VLOOKUP(B318,TABLA1!$B$14:$BF$1596,41,FALSE),"-")</f>
        <v>-</v>
      </c>
    </row>
    <row r="321" spans="2:17" x14ac:dyDescent="0.25">
      <c r="C321" s="88"/>
      <c r="D321" s="88"/>
      <c r="E321" s="88"/>
      <c r="F321" s="88"/>
      <c r="G321" s="88"/>
      <c r="H321" s="88"/>
      <c r="I321" s="20" t="s">
        <v>48</v>
      </c>
      <c r="J321" s="16">
        <f>IFERROR(VLOOKUP(B317,TABLA1!$B$14:$BF$1596,31,FALSE),)</f>
        <v>0</v>
      </c>
      <c r="K321" s="16">
        <f>IFERROR(VLOOKUP(B317,TABLA1!$B$14:$BF$1596,43,FALSE),)</f>
        <v>0</v>
      </c>
      <c r="L321" s="13" t="str">
        <f>IFERROR(VLOOKUP(B318,TABLA1!$B$14:$BF$1596,31,FALSE),"-")</f>
        <v>-</v>
      </c>
      <c r="M321" s="13" t="str">
        <f>IFERROR(VLOOKUP(B318,TABLA1!$B$14:$BF$1596,43,FALSE),"-")</f>
        <v>-</v>
      </c>
      <c r="N321" s="3">
        <v>52</v>
      </c>
      <c r="O321" s="3">
        <v>61</v>
      </c>
      <c r="P321" s="3">
        <f t="shared" ref="P321:P326" si="52">N321-25</f>
        <v>27</v>
      </c>
      <c r="Q321" s="3">
        <f t="shared" ref="Q321:Q326" si="53">O321-25</f>
        <v>36</v>
      </c>
    </row>
    <row r="322" spans="2:17" x14ac:dyDescent="0.25">
      <c r="C322" s="88"/>
      <c r="D322" s="88"/>
      <c r="E322" s="88"/>
      <c r="F322" s="88"/>
      <c r="G322" s="88"/>
      <c r="H322" s="88"/>
      <c r="I322" s="20" t="s">
        <v>49</v>
      </c>
      <c r="J322" s="16">
        <f>IFERROR(VLOOKUP(B317,TABLA1!$B$14:$BF$1596,30,FALSE),)</f>
        <v>0</v>
      </c>
      <c r="K322" s="16">
        <f>IFERROR(VLOOKUP(B317,TABLA1!$B$14:$BF$1596,42,FALSE),)</f>
        <v>0</v>
      </c>
      <c r="L322" s="13" t="str">
        <f>IFERROR(VLOOKUP(B318,TABLA1!$B$14:$BF$1596,30,FALSE),"-")</f>
        <v>-</v>
      </c>
      <c r="M322" s="13" t="str">
        <f>IFERROR(VLOOKUP(B318,TABLA1!$B$14:$BF$1596,42,FALSE),"-")</f>
        <v>-</v>
      </c>
      <c r="N322" s="3">
        <v>53</v>
      </c>
      <c r="O322" s="3">
        <v>62</v>
      </c>
      <c r="P322" s="3">
        <f t="shared" si="52"/>
        <v>28</v>
      </c>
      <c r="Q322" s="3">
        <f t="shared" si="53"/>
        <v>37</v>
      </c>
    </row>
    <row r="323" spans="2:17" x14ac:dyDescent="0.25">
      <c r="C323" s="88"/>
      <c r="D323" s="88"/>
      <c r="E323" s="88"/>
      <c r="F323" s="88"/>
      <c r="G323" s="88"/>
      <c r="H323" s="88"/>
      <c r="I323" s="20" t="s">
        <v>33</v>
      </c>
      <c r="J323" s="16">
        <f>IFERROR(VLOOKUP(B317,TABLA1!$B$14:$BF$1596,32,FALSE),)</f>
        <v>0</v>
      </c>
      <c r="K323" s="16">
        <f>IFERROR(VLOOKUP(B317,TABLA1!$B$14:$BF$1596,44,FALSE),)</f>
        <v>0</v>
      </c>
      <c r="L323" s="13" t="str">
        <f>IFERROR(VLOOKUP(B318,TABLA1!$B$14:$BF$1596,32,FALSE),"-")</f>
        <v>-</v>
      </c>
      <c r="M323" s="13" t="str">
        <f>IFERROR(VLOOKUP(B318,TABLA1!$B$14:$BF$1596,44,FALSE),"-")</f>
        <v>-</v>
      </c>
      <c r="N323" s="3">
        <v>54</v>
      </c>
      <c r="O323" s="3">
        <v>63</v>
      </c>
      <c r="P323" s="3">
        <f t="shared" si="52"/>
        <v>29</v>
      </c>
      <c r="Q323" s="3">
        <f t="shared" si="53"/>
        <v>38</v>
      </c>
    </row>
    <row r="324" spans="2:17" x14ac:dyDescent="0.25">
      <c r="C324" s="88"/>
      <c r="D324" s="88"/>
      <c r="E324" s="88"/>
      <c r="F324" s="88"/>
      <c r="G324" s="88"/>
      <c r="H324" s="88"/>
      <c r="I324" s="20" t="s">
        <v>50</v>
      </c>
      <c r="J324" s="16">
        <f>IFERROR(VLOOKUP(B317,TABLA1!$B$14:$BF$1596,35,FALSE),)</f>
        <v>0</v>
      </c>
      <c r="K324" s="16">
        <f>IFERROR(VLOOKUP(B317,TABLA1!$B$14:$BF$1596,47,FALSE),)</f>
        <v>0</v>
      </c>
      <c r="L324" s="13" t="str">
        <f>IFERROR(VLOOKUP(B318,TABLA1!$B$14:$BF$1596,35,FALSE),"-")</f>
        <v>-</v>
      </c>
      <c r="M324" s="13" t="str">
        <f>IFERROR(VLOOKUP(B318,TABLA1!$B$14:$BF$1596,47,FALSE),"-")</f>
        <v>-</v>
      </c>
      <c r="N324" s="3">
        <v>56</v>
      </c>
      <c r="O324" s="3">
        <v>65</v>
      </c>
      <c r="P324" s="3">
        <f t="shared" si="52"/>
        <v>31</v>
      </c>
      <c r="Q324" s="3">
        <f t="shared" si="53"/>
        <v>40</v>
      </c>
    </row>
    <row r="325" spans="2:17" x14ac:dyDescent="0.25">
      <c r="C325" s="88"/>
      <c r="D325" s="88"/>
      <c r="E325" s="88"/>
      <c r="F325" s="88"/>
      <c r="G325" s="88"/>
      <c r="H325" s="88"/>
      <c r="I325" s="20" t="s">
        <v>51</v>
      </c>
      <c r="J325" s="16">
        <f>IFERROR(VLOOKUP(B317,TABLA1!$B$14:$BF$1596,34,FALSE),)</f>
        <v>0</v>
      </c>
      <c r="K325" s="16">
        <f>IFERROR(VLOOKUP(B317,TABLA1!$B$14:$BF$1596,46,FALSE),)</f>
        <v>0</v>
      </c>
      <c r="L325" s="13" t="str">
        <f>IFERROR(VLOOKUP(B318,TABLA1!$B$14:$BF$1596,34,FALSE),"-")</f>
        <v>-</v>
      </c>
      <c r="M325" s="13" t="str">
        <f>IFERROR(VLOOKUP(B318,TABLA1!$B$14:$BF$1596,46,FALSE),"-")</f>
        <v>-</v>
      </c>
      <c r="N325" s="3">
        <v>57</v>
      </c>
      <c r="O325" s="3">
        <v>66</v>
      </c>
      <c r="P325" s="3">
        <f t="shared" si="52"/>
        <v>32</v>
      </c>
      <c r="Q325" s="3">
        <f t="shared" si="53"/>
        <v>41</v>
      </c>
    </row>
    <row r="326" spans="2:17" x14ac:dyDescent="0.25">
      <c r="C326" s="88"/>
      <c r="D326" s="88"/>
      <c r="E326" s="88"/>
      <c r="F326" s="88"/>
      <c r="G326" s="88"/>
      <c r="H326" s="88"/>
      <c r="I326" s="20" t="s">
        <v>34</v>
      </c>
      <c r="J326" s="16">
        <f>IFERROR(VLOOKUP(B317,TABLA1!$B$14:$BF$1596,36,FALSE),)</f>
        <v>0</v>
      </c>
      <c r="K326" s="16">
        <f>IFERROR(VLOOKUP(B317,TABLA1!$B$14:$BF$1596,48,FALSE),)</f>
        <v>0</v>
      </c>
      <c r="L326" s="13" t="str">
        <f>IFERROR(VLOOKUP(B318,TABLA1!$B$14:$BF$1596,36,FALSE),"-")</f>
        <v>-</v>
      </c>
      <c r="M326" s="13" t="str">
        <f>IFERROR(VLOOKUP(B318,TABLA1!$B$14:$BF$1596,48,FALSE),"-")</f>
        <v>-</v>
      </c>
      <c r="N326" s="3">
        <v>59</v>
      </c>
      <c r="O326" s="3">
        <v>68</v>
      </c>
      <c r="P326" s="3">
        <f t="shared" si="52"/>
        <v>34</v>
      </c>
      <c r="Q326" s="3">
        <f t="shared" si="53"/>
        <v>43</v>
      </c>
    </row>
    <row r="327" spans="2:17" x14ac:dyDescent="0.25">
      <c r="C327" s="88"/>
      <c r="D327" s="88"/>
      <c r="E327" s="88"/>
      <c r="F327" s="88"/>
      <c r="G327" s="88"/>
      <c r="H327" s="88"/>
      <c r="I327" s="20" t="s">
        <v>35</v>
      </c>
      <c r="J327" s="16"/>
      <c r="K327" s="16"/>
      <c r="L327" s="13"/>
      <c r="M327" s="13"/>
    </row>
    <row r="328" spans="2:17" x14ac:dyDescent="0.25">
      <c r="C328" s="88"/>
      <c r="D328" s="88"/>
      <c r="E328" s="88"/>
      <c r="F328" s="88"/>
      <c r="G328" s="88"/>
      <c r="H328" s="88"/>
      <c r="I328" s="20" t="s">
        <v>36</v>
      </c>
      <c r="J328" s="13"/>
      <c r="K328" s="13"/>
      <c r="L328" s="13"/>
      <c r="M328" s="13"/>
    </row>
    <row r="329" spans="2:17" x14ac:dyDescent="0.25">
      <c r="B329" s="3">
        <f>TABLA1!B39</f>
        <v>0</v>
      </c>
      <c r="C329" s="88" t="e">
        <f>VLOOKUP(B329,TABLA1!$B$14:$BF$1596,2,FALSE)</f>
        <v>#N/A</v>
      </c>
      <c r="D329" s="88" t="e">
        <f>VLOOKUP(B329,TABLA1!$B$14:$BF$1596,3,FALSE)</f>
        <v>#N/A</v>
      </c>
      <c r="E329" s="88" t="e">
        <f>VLOOKUP(B329,TABLA1!$B$14:$BF$1596,4,FALSE)&amp;"/"&amp;VLOOKUP(B329,TABLA1!$B$14:$BF$1596,5,FALSE)</f>
        <v>#N/A</v>
      </c>
      <c r="F329" s="88" t="e">
        <f>VLOOKUP(B329,TABLA1!$B$14:$BF$1596,7,FALSE)</f>
        <v>#N/A</v>
      </c>
      <c r="G329" s="88"/>
      <c r="H329" s="88"/>
      <c r="I329" s="20" t="s">
        <v>46</v>
      </c>
      <c r="J329" s="16" t="str">
        <f>IFERROR(VLOOKUP(B329,TABLA1!$B$14:$BF$1596,27,FALSE),"")</f>
        <v/>
      </c>
      <c r="K329" s="16">
        <f>IFERROR(VLOOKUP(B329,TABLA1!$B$14:$BF$1596,39,FALSE),)</f>
        <v>0</v>
      </c>
      <c r="L329" s="13" t="str">
        <f>IFERROR(VLOOKUP(B330,TABLA1!$B$14:$BF$1596,27,FALSE),"-")</f>
        <v>-</v>
      </c>
      <c r="M329" s="13" t="str">
        <f>IFERROR(VLOOKUP(B330,TABLA1!$B$14:$BF$1596,39,FALSE),"-")</f>
        <v>-</v>
      </c>
      <c r="N329" s="3">
        <v>51</v>
      </c>
      <c r="O329" s="3">
        <v>60</v>
      </c>
      <c r="P329" s="3">
        <f>N329-25</f>
        <v>26</v>
      </c>
      <c r="Q329" s="3">
        <f>O329-25</f>
        <v>35</v>
      </c>
    </row>
    <row r="330" spans="2:17" x14ac:dyDescent="0.25">
      <c r="C330" s="88"/>
      <c r="D330" s="88"/>
      <c r="E330" s="88"/>
      <c r="F330" s="88"/>
      <c r="G330" s="88"/>
      <c r="H330" s="88"/>
      <c r="I330" s="20" t="s">
        <v>47</v>
      </c>
      <c r="J330" s="13">
        <f>IFERROR(VLOOKUP(B329,TABLA1!$B$14:$BF$1596,26,FALSE),)</f>
        <v>0</v>
      </c>
      <c r="K330" s="13">
        <f>IFERROR(VLOOKUP(B329,TABLA1!$B$14:$BF$1596,38,FALSE),)</f>
        <v>0</v>
      </c>
      <c r="L330" s="13" t="str">
        <f>IFERROR(VLOOKUP(B330,TABLA1!$B$14:$BF$1596,26,FALSE),"-")</f>
        <v>-</v>
      </c>
      <c r="M330" s="13" t="str">
        <f>IFERROR(VLOOKUP(B330,TABLA1!$B$14:$BF$1596,38,FALSE),"-")</f>
        <v>-</v>
      </c>
    </row>
    <row r="331" spans="2:17" x14ac:dyDescent="0.25">
      <c r="C331" s="88"/>
      <c r="D331" s="88"/>
      <c r="E331" s="88"/>
      <c r="F331" s="88"/>
      <c r="G331" s="88"/>
      <c r="H331" s="88"/>
      <c r="I331" s="20" t="s">
        <v>10</v>
      </c>
      <c r="J331" s="16">
        <f>IFERROR(VLOOKUP(B329,TABLA1!$B$14:$BF$1596,28,FALSE),)</f>
        <v>0</v>
      </c>
      <c r="K331" s="16">
        <f>IFERROR(VLOOKUP(B329,TABLA1!$B$14:$BF$1596,40,FALSE),)</f>
        <v>0</v>
      </c>
      <c r="L331" s="13" t="str">
        <f>IFERROR(VLOOKUP(B330,TABLA1!$B$14:$BF$1596,28,FALSE),"-")</f>
        <v>-</v>
      </c>
      <c r="M331" s="13" t="str">
        <f>IFERROR(VLOOKUP(B330,TABLA1!$B$14:$BF$1596,40,FALSE),"-")</f>
        <v>-</v>
      </c>
    </row>
    <row r="332" spans="2:17" x14ac:dyDescent="0.25">
      <c r="C332" s="88"/>
      <c r="D332" s="88"/>
      <c r="E332" s="88"/>
      <c r="F332" s="88"/>
      <c r="G332" s="88"/>
      <c r="H332" s="88"/>
      <c r="I332" s="20" t="s">
        <v>11</v>
      </c>
      <c r="J332" s="13">
        <f>IFERROR(VLOOKUP(B329,TABLA1!$B$14:$BF$1596,29,FALSE),)</f>
        <v>0</v>
      </c>
      <c r="K332" s="13">
        <f>IFERROR(VLOOKUP(B329,TABLA1!$B$14:$BF$1596,41,FALSE),)</f>
        <v>0</v>
      </c>
      <c r="L332" s="13" t="str">
        <f>IFERROR(VLOOKUP(B330,TABLA1!$B$14:$BF$1596,29,FALSE),"-")</f>
        <v>-</v>
      </c>
      <c r="M332" s="13" t="str">
        <f>IFERROR(VLOOKUP(B330,TABLA1!$B$14:$BF$1596,41,FALSE),"-")</f>
        <v>-</v>
      </c>
    </row>
    <row r="333" spans="2:17" x14ac:dyDescent="0.25">
      <c r="C333" s="88"/>
      <c r="D333" s="88"/>
      <c r="E333" s="88"/>
      <c r="F333" s="88"/>
      <c r="G333" s="88"/>
      <c r="H333" s="88"/>
      <c r="I333" s="20" t="s">
        <v>48</v>
      </c>
      <c r="J333" s="16">
        <f>IFERROR(VLOOKUP(B329,TABLA1!$B$14:$BF$1596,31,FALSE),)</f>
        <v>0</v>
      </c>
      <c r="K333" s="16">
        <f>IFERROR(VLOOKUP(B329,TABLA1!$B$14:$BF$1596,43,FALSE),)</f>
        <v>0</v>
      </c>
      <c r="L333" s="13" t="str">
        <f>IFERROR(VLOOKUP(B330,TABLA1!$B$14:$BF$1596,31,FALSE),"-")</f>
        <v>-</v>
      </c>
      <c r="M333" s="13" t="str">
        <f>IFERROR(VLOOKUP(B330,TABLA1!$B$14:$BF$1596,43,FALSE),"-")</f>
        <v>-</v>
      </c>
      <c r="N333" s="3">
        <v>52</v>
      </c>
      <c r="O333" s="3">
        <v>61</v>
      </c>
      <c r="P333" s="3">
        <f t="shared" ref="P333:P338" si="54">N333-25</f>
        <v>27</v>
      </c>
      <c r="Q333" s="3">
        <f t="shared" ref="Q333:Q338" si="55">O333-25</f>
        <v>36</v>
      </c>
    </row>
    <row r="334" spans="2:17" x14ac:dyDescent="0.25">
      <c r="C334" s="88"/>
      <c r="D334" s="88"/>
      <c r="E334" s="88"/>
      <c r="F334" s="88"/>
      <c r="G334" s="88"/>
      <c r="H334" s="88"/>
      <c r="I334" s="20" t="s">
        <v>49</v>
      </c>
      <c r="J334" s="16">
        <f>IFERROR(VLOOKUP(B329,TABLA1!$B$14:$BF$1596,30,FALSE),)</f>
        <v>0</v>
      </c>
      <c r="K334" s="16">
        <f>IFERROR(VLOOKUP(B329,TABLA1!$B$14:$BF$1596,42,FALSE),)</f>
        <v>0</v>
      </c>
      <c r="L334" s="13" t="str">
        <f>IFERROR(VLOOKUP(B330,TABLA1!$B$14:$BF$1596,30,FALSE),"-")</f>
        <v>-</v>
      </c>
      <c r="M334" s="13" t="str">
        <f>IFERROR(VLOOKUP(B330,TABLA1!$B$14:$BF$1596,42,FALSE),"-")</f>
        <v>-</v>
      </c>
      <c r="N334" s="3">
        <v>53</v>
      </c>
      <c r="O334" s="3">
        <v>62</v>
      </c>
      <c r="P334" s="3">
        <f t="shared" si="54"/>
        <v>28</v>
      </c>
      <c r="Q334" s="3">
        <f t="shared" si="55"/>
        <v>37</v>
      </c>
    </row>
    <row r="335" spans="2:17" x14ac:dyDescent="0.25">
      <c r="C335" s="88"/>
      <c r="D335" s="88"/>
      <c r="E335" s="88"/>
      <c r="F335" s="88"/>
      <c r="G335" s="88"/>
      <c r="H335" s="88"/>
      <c r="I335" s="20" t="s">
        <v>33</v>
      </c>
      <c r="J335" s="16">
        <f>IFERROR(VLOOKUP(B329,TABLA1!$B$14:$BF$1596,32,FALSE),)</f>
        <v>0</v>
      </c>
      <c r="K335" s="16">
        <f>IFERROR(VLOOKUP(B329,TABLA1!$B$14:$BF$1596,44,FALSE),)</f>
        <v>0</v>
      </c>
      <c r="L335" s="13" t="str">
        <f>IFERROR(VLOOKUP(B330,TABLA1!$B$14:$BF$1596,32,FALSE),"-")</f>
        <v>-</v>
      </c>
      <c r="M335" s="13" t="str">
        <f>IFERROR(VLOOKUP(B330,TABLA1!$B$14:$BF$1596,44,FALSE),"-")</f>
        <v>-</v>
      </c>
      <c r="N335" s="3">
        <v>54</v>
      </c>
      <c r="O335" s="3">
        <v>63</v>
      </c>
      <c r="P335" s="3">
        <f t="shared" si="54"/>
        <v>29</v>
      </c>
      <c r="Q335" s="3">
        <f t="shared" si="55"/>
        <v>38</v>
      </c>
    </row>
    <row r="336" spans="2:17" x14ac:dyDescent="0.25">
      <c r="C336" s="88"/>
      <c r="D336" s="88"/>
      <c r="E336" s="88"/>
      <c r="F336" s="88"/>
      <c r="G336" s="88"/>
      <c r="H336" s="88"/>
      <c r="I336" s="20" t="s">
        <v>50</v>
      </c>
      <c r="J336" s="16">
        <f>IFERROR(VLOOKUP(B329,TABLA1!$B$14:$BF$1596,35,FALSE),)</f>
        <v>0</v>
      </c>
      <c r="K336" s="16">
        <f>IFERROR(VLOOKUP(B329,TABLA1!$B$14:$BF$1596,47,FALSE),)</f>
        <v>0</v>
      </c>
      <c r="L336" s="13" t="str">
        <f>IFERROR(VLOOKUP(B330,TABLA1!$B$14:$BF$1596,35,FALSE),"-")</f>
        <v>-</v>
      </c>
      <c r="M336" s="13" t="str">
        <f>IFERROR(VLOOKUP(B330,TABLA1!$B$14:$BF$1596,47,FALSE),"-")</f>
        <v>-</v>
      </c>
      <c r="N336" s="3">
        <v>56</v>
      </c>
      <c r="O336" s="3">
        <v>65</v>
      </c>
      <c r="P336" s="3">
        <f t="shared" si="54"/>
        <v>31</v>
      </c>
      <c r="Q336" s="3">
        <f t="shared" si="55"/>
        <v>40</v>
      </c>
    </row>
    <row r="337" spans="2:17" x14ac:dyDescent="0.25">
      <c r="C337" s="88"/>
      <c r="D337" s="88"/>
      <c r="E337" s="88"/>
      <c r="F337" s="88"/>
      <c r="G337" s="88"/>
      <c r="H337" s="88"/>
      <c r="I337" s="20" t="s">
        <v>51</v>
      </c>
      <c r="J337" s="16">
        <f>IFERROR(VLOOKUP(B329,TABLA1!$B$14:$BF$1596,34,FALSE),)</f>
        <v>0</v>
      </c>
      <c r="K337" s="16">
        <f>IFERROR(VLOOKUP(B329,TABLA1!$B$14:$BF$1596,46,FALSE),)</f>
        <v>0</v>
      </c>
      <c r="L337" s="13" t="str">
        <f>IFERROR(VLOOKUP(B330,TABLA1!$B$14:$BF$1596,34,FALSE),"-")</f>
        <v>-</v>
      </c>
      <c r="M337" s="13" t="str">
        <f>IFERROR(VLOOKUP(B330,TABLA1!$B$14:$BF$1596,46,FALSE),"-")</f>
        <v>-</v>
      </c>
      <c r="N337" s="3">
        <v>57</v>
      </c>
      <c r="O337" s="3">
        <v>66</v>
      </c>
      <c r="P337" s="3">
        <f t="shared" si="54"/>
        <v>32</v>
      </c>
      <c r="Q337" s="3">
        <f t="shared" si="55"/>
        <v>41</v>
      </c>
    </row>
    <row r="338" spans="2:17" x14ac:dyDescent="0.25">
      <c r="C338" s="88"/>
      <c r="D338" s="88"/>
      <c r="E338" s="88"/>
      <c r="F338" s="88"/>
      <c r="G338" s="88"/>
      <c r="H338" s="88"/>
      <c r="I338" s="20" t="s">
        <v>34</v>
      </c>
      <c r="J338" s="16">
        <f>IFERROR(VLOOKUP(B329,TABLA1!$B$14:$BF$1596,36,FALSE),)</f>
        <v>0</v>
      </c>
      <c r="K338" s="16">
        <f>IFERROR(VLOOKUP(B329,TABLA1!$B$14:$BF$1596,48,FALSE),)</f>
        <v>0</v>
      </c>
      <c r="L338" s="13" t="str">
        <f>IFERROR(VLOOKUP(B330,TABLA1!$B$14:$BF$1596,36,FALSE),"-")</f>
        <v>-</v>
      </c>
      <c r="M338" s="13" t="str">
        <f>IFERROR(VLOOKUP(B330,TABLA1!$B$14:$BF$1596,48,FALSE),"-")</f>
        <v>-</v>
      </c>
      <c r="N338" s="3">
        <v>59</v>
      </c>
      <c r="O338" s="3">
        <v>68</v>
      </c>
      <c r="P338" s="3">
        <f t="shared" si="54"/>
        <v>34</v>
      </c>
      <c r="Q338" s="3">
        <f t="shared" si="55"/>
        <v>43</v>
      </c>
    </row>
    <row r="339" spans="2:17" x14ac:dyDescent="0.25">
      <c r="C339" s="88"/>
      <c r="D339" s="88"/>
      <c r="E339" s="88"/>
      <c r="F339" s="88"/>
      <c r="G339" s="88"/>
      <c r="H339" s="88"/>
      <c r="I339" s="20" t="s">
        <v>35</v>
      </c>
      <c r="J339" s="16"/>
      <c r="K339" s="16"/>
      <c r="L339" s="13"/>
      <c r="M339" s="13"/>
    </row>
    <row r="340" spans="2:17" x14ac:dyDescent="0.25">
      <c r="C340" s="88"/>
      <c r="D340" s="88"/>
      <c r="E340" s="88"/>
      <c r="F340" s="88"/>
      <c r="G340" s="88"/>
      <c r="H340" s="88"/>
      <c r="I340" s="20" t="s">
        <v>36</v>
      </c>
      <c r="J340" s="13"/>
      <c r="K340" s="13"/>
      <c r="L340" s="13"/>
      <c r="M340" s="13"/>
    </row>
    <row r="341" spans="2:17" x14ac:dyDescent="0.25">
      <c r="B341" s="3">
        <f>TABLA1!B40</f>
        <v>0</v>
      </c>
      <c r="C341" s="88" t="e">
        <f>VLOOKUP(B341,TABLA1!$B$14:$BF$1596,2,FALSE)</f>
        <v>#N/A</v>
      </c>
      <c r="D341" s="88" t="e">
        <f>VLOOKUP(B341,TABLA1!$B$14:$BF$1596,3,FALSE)</f>
        <v>#N/A</v>
      </c>
      <c r="E341" s="88" t="e">
        <f>VLOOKUP(B341,TABLA1!$B$14:$BF$1596,4,FALSE)&amp;"/"&amp;VLOOKUP(B341,TABLA1!$B$14:$BF$1596,5,FALSE)</f>
        <v>#N/A</v>
      </c>
      <c r="F341" s="88" t="e">
        <f>VLOOKUP(B341,TABLA1!$B$14:$BF$1596,7,FALSE)</f>
        <v>#N/A</v>
      </c>
      <c r="G341" s="88"/>
      <c r="H341" s="88"/>
      <c r="I341" s="20" t="s">
        <v>46</v>
      </c>
      <c r="J341" s="16" t="str">
        <f>IFERROR(VLOOKUP(B341,TABLA1!$B$14:$BF$1596,27,FALSE),"")</f>
        <v/>
      </c>
      <c r="K341" s="16">
        <f>IFERROR(VLOOKUP(B341,TABLA1!$B$14:$BF$1596,39,FALSE),)</f>
        <v>0</v>
      </c>
      <c r="L341" s="13" t="str">
        <f>IFERROR(VLOOKUP(B342,TABLA1!$B$14:$BF$1596,27,FALSE),"-")</f>
        <v>-</v>
      </c>
      <c r="M341" s="13" t="str">
        <f>IFERROR(VLOOKUP(B342,TABLA1!$B$14:$BF$1596,39,FALSE),"-")</f>
        <v>-</v>
      </c>
      <c r="N341" s="3">
        <v>51</v>
      </c>
      <c r="O341" s="3">
        <v>60</v>
      </c>
      <c r="P341" s="3">
        <f>N341-25</f>
        <v>26</v>
      </c>
      <c r="Q341" s="3">
        <f>O341-25</f>
        <v>35</v>
      </c>
    </row>
    <row r="342" spans="2:17" x14ac:dyDescent="0.25">
      <c r="C342" s="88"/>
      <c r="D342" s="88"/>
      <c r="E342" s="88"/>
      <c r="F342" s="88"/>
      <c r="G342" s="88"/>
      <c r="H342" s="88"/>
      <c r="I342" s="20" t="s">
        <v>47</v>
      </c>
      <c r="J342" s="13">
        <f>IFERROR(VLOOKUP(B341,TABLA1!$B$14:$BF$1596,26,FALSE),)</f>
        <v>0</v>
      </c>
      <c r="K342" s="13">
        <f>IFERROR(VLOOKUP(B341,TABLA1!$B$14:$BF$1596,38,FALSE),)</f>
        <v>0</v>
      </c>
      <c r="L342" s="13" t="str">
        <f>IFERROR(VLOOKUP(B342,TABLA1!$B$14:$BF$1596,26,FALSE),"-")</f>
        <v>-</v>
      </c>
      <c r="M342" s="13" t="str">
        <f>IFERROR(VLOOKUP(B342,TABLA1!$B$14:$BF$1596,38,FALSE),"-")</f>
        <v>-</v>
      </c>
    </row>
    <row r="343" spans="2:17" x14ac:dyDescent="0.25">
      <c r="C343" s="88"/>
      <c r="D343" s="88"/>
      <c r="E343" s="88"/>
      <c r="F343" s="88"/>
      <c r="G343" s="88"/>
      <c r="H343" s="88"/>
      <c r="I343" s="20" t="s">
        <v>10</v>
      </c>
      <c r="J343" s="16">
        <f>IFERROR(VLOOKUP(B341,TABLA1!$B$14:$BF$1596,28,FALSE),)</f>
        <v>0</v>
      </c>
      <c r="K343" s="16">
        <f>IFERROR(VLOOKUP(B341,TABLA1!$B$14:$BF$1596,40,FALSE),)</f>
        <v>0</v>
      </c>
      <c r="L343" s="13" t="str">
        <f>IFERROR(VLOOKUP(B342,TABLA1!$B$14:$BF$1596,28,FALSE),"-")</f>
        <v>-</v>
      </c>
      <c r="M343" s="13" t="str">
        <f>IFERROR(VLOOKUP(B342,TABLA1!$B$14:$BF$1596,40,FALSE),"-")</f>
        <v>-</v>
      </c>
    </row>
    <row r="344" spans="2:17" x14ac:dyDescent="0.25">
      <c r="C344" s="88"/>
      <c r="D344" s="88"/>
      <c r="E344" s="88"/>
      <c r="F344" s="88"/>
      <c r="G344" s="88"/>
      <c r="H344" s="88"/>
      <c r="I344" s="20" t="s">
        <v>11</v>
      </c>
      <c r="J344" s="13">
        <f>IFERROR(VLOOKUP(B341,TABLA1!$B$14:$BF$1596,29,FALSE),)</f>
        <v>0</v>
      </c>
      <c r="K344" s="13">
        <f>IFERROR(VLOOKUP(B341,TABLA1!$B$14:$BF$1596,41,FALSE),)</f>
        <v>0</v>
      </c>
      <c r="L344" s="13" t="str">
        <f>IFERROR(VLOOKUP(B342,TABLA1!$B$14:$BF$1596,29,FALSE),"-")</f>
        <v>-</v>
      </c>
      <c r="M344" s="13" t="str">
        <f>IFERROR(VLOOKUP(B342,TABLA1!$B$14:$BF$1596,41,FALSE),"-")</f>
        <v>-</v>
      </c>
    </row>
    <row r="345" spans="2:17" x14ac:dyDescent="0.25">
      <c r="C345" s="88"/>
      <c r="D345" s="88"/>
      <c r="E345" s="88"/>
      <c r="F345" s="88"/>
      <c r="G345" s="88"/>
      <c r="H345" s="88"/>
      <c r="I345" s="20" t="s">
        <v>48</v>
      </c>
      <c r="J345" s="16">
        <f>IFERROR(VLOOKUP(B341,TABLA1!$B$14:$BF$1596,31,FALSE),)</f>
        <v>0</v>
      </c>
      <c r="K345" s="16">
        <f>IFERROR(VLOOKUP(B341,TABLA1!$B$14:$BF$1596,43,FALSE),)</f>
        <v>0</v>
      </c>
      <c r="L345" s="13" t="str">
        <f>IFERROR(VLOOKUP(B342,TABLA1!$B$14:$BF$1596,31,FALSE),"-")</f>
        <v>-</v>
      </c>
      <c r="M345" s="13" t="str">
        <f>IFERROR(VLOOKUP(B342,TABLA1!$B$14:$BF$1596,43,FALSE),"-")</f>
        <v>-</v>
      </c>
    </row>
    <row r="346" spans="2:17" x14ac:dyDescent="0.25">
      <c r="C346" s="88"/>
      <c r="D346" s="88"/>
      <c r="E346" s="88"/>
      <c r="F346" s="88"/>
      <c r="G346" s="88"/>
      <c r="H346" s="88"/>
      <c r="I346" s="20" t="s">
        <v>49</v>
      </c>
      <c r="J346" s="16">
        <f>IFERROR(VLOOKUP(B341,TABLA1!$B$14:$BF$1596,30,FALSE),)</f>
        <v>0</v>
      </c>
      <c r="K346" s="16">
        <f>IFERROR(VLOOKUP(B341,TABLA1!$B$14:$BF$1596,42,FALSE),)</f>
        <v>0</v>
      </c>
      <c r="L346" s="13" t="str">
        <f>IFERROR(VLOOKUP(B342,TABLA1!$B$14:$BF$1596,30,FALSE),"-")</f>
        <v>-</v>
      </c>
      <c r="M346" s="13" t="str">
        <f>IFERROR(VLOOKUP(B342,TABLA1!$B$14:$BF$1596,42,FALSE),"-")</f>
        <v>-</v>
      </c>
      <c r="N346" s="3">
        <v>52</v>
      </c>
      <c r="O346" s="3">
        <v>61</v>
      </c>
      <c r="P346" s="3">
        <f t="shared" ref="P346:P351" si="56">N346-25</f>
        <v>27</v>
      </c>
      <c r="Q346" s="3">
        <f t="shared" ref="Q346:Q351" si="57">O346-25</f>
        <v>36</v>
      </c>
    </row>
    <row r="347" spans="2:17" x14ac:dyDescent="0.25">
      <c r="C347" s="88"/>
      <c r="D347" s="88"/>
      <c r="E347" s="88"/>
      <c r="F347" s="88"/>
      <c r="G347" s="88"/>
      <c r="H347" s="88"/>
      <c r="I347" s="20" t="s">
        <v>33</v>
      </c>
      <c r="J347" s="16">
        <f>IFERROR(VLOOKUP(B341,TABLA1!$B$14:$BF$1596,32,FALSE),)</f>
        <v>0</v>
      </c>
      <c r="K347" s="16">
        <f>IFERROR(VLOOKUP(B341,TABLA1!$B$14:$BF$1596,44,FALSE),)</f>
        <v>0</v>
      </c>
      <c r="L347" s="13" t="str">
        <f>IFERROR(VLOOKUP(B342,TABLA1!$B$14:$BF$1596,32,FALSE),"-")</f>
        <v>-</v>
      </c>
      <c r="M347" s="13" t="str">
        <f>IFERROR(VLOOKUP(B342,TABLA1!$B$14:$BF$1596,44,FALSE),"-")</f>
        <v>-</v>
      </c>
      <c r="N347" s="3">
        <v>53</v>
      </c>
      <c r="O347" s="3">
        <v>62</v>
      </c>
      <c r="P347" s="3">
        <f t="shared" si="56"/>
        <v>28</v>
      </c>
      <c r="Q347" s="3">
        <f t="shared" si="57"/>
        <v>37</v>
      </c>
    </row>
    <row r="348" spans="2:17" x14ac:dyDescent="0.25">
      <c r="C348" s="88"/>
      <c r="D348" s="88"/>
      <c r="E348" s="88"/>
      <c r="F348" s="88"/>
      <c r="G348" s="88"/>
      <c r="H348" s="88"/>
      <c r="I348" s="20" t="s">
        <v>50</v>
      </c>
      <c r="J348" s="16">
        <f>IFERROR(VLOOKUP(B341,TABLA1!$B$14:$BF$1596,35,FALSE),)</f>
        <v>0</v>
      </c>
      <c r="K348" s="16">
        <f>IFERROR(VLOOKUP(B341,TABLA1!$B$14:$BF$1596,47,FALSE),)</f>
        <v>0</v>
      </c>
      <c r="L348" s="13" t="str">
        <f>IFERROR(VLOOKUP(B342,TABLA1!$B$14:$BF$1596,35,FALSE),"-")</f>
        <v>-</v>
      </c>
      <c r="M348" s="13" t="str">
        <f>IFERROR(VLOOKUP(B342,TABLA1!$B$14:$BF$1596,47,FALSE),"-")</f>
        <v>-</v>
      </c>
      <c r="N348" s="3">
        <v>54</v>
      </c>
      <c r="O348" s="3">
        <v>63</v>
      </c>
      <c r="P348" s="3">
        <f t="shared" si="56"/>
        <v>29</v>
      </c>
      <c r="Q348" s="3">
        <f t="shared" si="57"/>
        <v>38</v>
      </c>
    </row>
    <row r="349" spans="2:17" x14ac:dyDescent="0.25">
      <c r="C349" s="88"/>
      <c r="D349" s="88"/>
      <c r="E349" s="88"/>
      <c r="F349" s="88"/>
      <c r="G349" s="88"/>
      <c r="H349" s="88"/>
      <c r="I349" s="20" t="s">
        <v>51</v>
      </c>
      <c r="J349" s="16">
        <f>IFERROR(VLOOKUP(B341,TABLA1!$B$14:$BF$1596,34,FALSE),)</f>
        <v>0</v>
      </c>
      <c r="K349" s="16">
        <f>IFERROR(VLOOKUP(B341,TABLA1!$B$14:$BF$1596,46,FALSE),)</f>
        <v>0</v>
      </c>
      <c r="L349" s="13" t="str">
        <f>IFERROR(VLOOKUP(B342,TABLA1!$B$14:$BF$1596,34,FALSE),"-")</f>
        <v>-</v>
      </c>
      <c r="M349" s="13" t="str">
        <f>IFERROR(VLOOKUP(B342,TABLA1!$B$14:$BF$1596,46,FALSE),"-")</f>
        <v>-</v>
      </c>
      <c r="N349" s="3">
        <v>56</v>
      </c>
      <c r="O349" s="3">
        <v>65</v>
      </c>
      <c r="P349" s="3">
        <f t="shared" si="56"/>
        <v>31</v>
      </c>
      <c r="Q349" s="3">
        <f t="shared" si="57"/>
        <v>40</v>
      </c>
    </row>
    <row r="350" spans="2:17" x14ac:dyDescent="0.25">
      <c r="C350" s="88"/>
      <c r="D350" s="88"/>
      <c r="E350" s="88"/>
      <c r="F350" s="88"/>
      <c r="G350" s="88"/>
      <c r="H350" s="88"/>
      <c r="I350" s="20" t="s">
        <v>34</v>
      </c>
      <c r="J350" s="16">
        <f>IFERROR(VLOOKUP(B341,TABLA1!$B$14:$BF$1596,36,FALSE),)</f>
        <v>0</v>
      </c>
      <c r="K350" s="16">
        <f>IFERROR(VLOOKUP(B341,TABLA1!$B$14:$BF$1596,48,FALSE),)</f>
        <v>0</v>
      </c>
      <c r="L350" s="13" t="str">
        <f>IFERROR(VLOOKUP(B342,TABLA1!$B$14:$BF$1596,36,FALSE),"-")</f>
        <v>-</v>
      </c>
      <c r="M350" s="13" t="str">
        <f>IFERROR(VLOOKUP(B342,TABLA1!$B$14:$BF$1596,48,FALSE),"-")</f>
        <v>-</v>
      </c>
      <c r="N350" s="3">
        <v>57</v>
      </c>
      <c r="O350" s="3">
        <v>66</v>
      </c>
      <c r="P350" s="3">
        <f t="shared" si="56"/>
        <v>32</v>
      </c>
      <c r="Q350" s="3">
        <f t="shared" si="57"/>
        <v>41</v>
      </c>
    </row>
    <row r="351" spans="2:17" x14ac:dyDescent="0.25">
      <c r="C351" s="88"/>
      <c r="D351" s="88"/>
      <c r="E351" s="88"/>
      <c r="F351" s="88"/>
      <c r="G351" s="88"/>
      <c r="H351" s="88"/>
      <c r="I351" s="20" t="s">
        <v>35</v>
      </c>
      <c r="J351" s="16"/>
      <c r="K351" s="16"/>
      <c r="L351" s="13"/>
      <c r="M351" s="13"/>
      <c r="N351" s="3">
        <v>59</v>
      </c>
      <c r="O351" s="3">
        <v>68</v>
      </c>
      <c r="P351" s="3">
        <f t="shared" si="56"/>
        <v>34</v>
      </c>
      <c r="Q351" s="3">
        <f t="shared" si="57"/>
        <v>43</v>
      </c>
    </row>
    <row r="352" spans="2:17" x14ac:dyDescent="0.25">
      <c r="C352" s="88"/>
      <c r="D352" s="88"/>
      <c r="E352" s="88"/>
      <c r="F352" s="88"/>
      <c r="G352" s="88"/>
      <c r="H352" s="88"/>
      <c r="I352" s="20" t="s">
        <v>36</v>
      </c>
      <c r="J352" s="13"/>
      <c r="K352" s="13"/>
      <c r="L352" s="13"/>
      <c r="M352" s="13"/>
    </row>
    <row r="353" spans="2:17" x14ac:dyDescent="0.25">
      <c r="B353" s="3">
        <f>TABLA1!B41</f>
        <v>0</v>
      </c>
      <c r="C353" s="88" t="e">
        <f>VLOOKUP(B353,TABLA1!$B$14:$BF$1596,2,FALSE)</f>
        <v>#N/A</v>
      </c>
      <c r="D353" s="88" t="e">
        <f>VLOOKUP(B353,TABLA1!$B$14:$BF$1596,3,FALSE)</f>
        <v>#N/A</v>
      </c>
      <c r="E353" s="88" t="e">
        <f>VLOOKUP(B353,TABLA1!$B$14:$BF$1596,4,FALSE)&amp;"/"&amp;VLOOKUP(B353,TABLA1!$B$14:$BF$1596,5,FALSE)</f>
        <v>#N/A</v>
      </c>
      <c r="F353" s="88" t="e">
        <f>VLOOKUP(B353,TABLA1!$B$14:$BF$1596,7,FALSE)</f>
        <v>#N/A</v>
      </c>
      <c r="G353" s="88"/>
      <c r="H353" s="88"/>
      <c r="I353" s="20" t="s">
        <v>46</v>
      </c>
      <c r="J353" s="16" t="str">
        <f>IFERROR(VLOOKUP(B353,TABLA1!$B$14:$BF$1596,27,FALSE),"")</f>
        <v/>
      </c>
      <c r="K353" s="16">
        <f>IFERROR(VLOOKUP(B353,TABLA1!$B$14:$BF$1596,39,FALSE),)</f>
        <v>0</v>
      </c>
      <c r="L353" s="13" t="str">
        <f>IFERROR(VLOOKUP(B354,TABLA1!$B$14:$BF$1596,27,FALSE),"-")</f>
        <v>-</v>
      </c>
      <c r="M353" s="13" t="str">
        <f>IFERROR(VLOOKUP(B354,TABLA1!$B$14:$BF$1596,39,FALSE),"-")</f>
        <v>-</v>
      </c>
      <c r="N353" s="3">
        <v>51</v>
      </c>
      <c r="O353" s="3">
        <v>60</v>
      </c>
      <c r="P353" s="3">
        <f>N353-25</f>
        <v>26</v>
      </c>
      <c r="Q353" s="3">
        <f>O353-25</f>
        <v>35</v>
      </c>
    </row>
    <row r="354" spans="2:17" x14ac:dyDescent="0.25">
      <c r="C354" s="88"/>
      <c r="D354" s="88"/>
      <c r="E354" s="88"/>
      <c r="F354" s="88"/>
      <c r="G354" s="88"/>
      <c r="H354" s="88"/>
      <c r="I354" s="20" t="s">
        <v>47</v>
      </c>
      <c r="J354" s="13">
        <f>IFERROR(VLOOKUP(B353,TABLA1!$B$14:$BF$1596,26,FALSE),)</f>
        <v>0</v>
      </c>
      <c r="K354" s="13">
        <f>IFERROR(VLOOKUP(B353,TABLA1!$B$14:$BF$1596,38,FALSE),)</f>
        <v>0</v>
      </c>
      <c r="L354" s="13" t="str">
        <f>IFERROR(VLOOKUP(B354,TABLA1!$B$14:$BF$1596,26,FALSE),"-")</f>
        <v>-</v>
      </c>
      <c r="M354" s="13" t="str">
        <f>IFERROR(VLOOKUP(B354,TABLA1!$B$14:$BF$1596,38,FALSE),"-")</f>
        <v>-</v>
      </c>
      <c r="N354" s="3">
        <v>52</v>
      </c>
      <c r="O354" s="3">
        <v>61</v>
      </c>
      <c r="P354" s="3">
        <f t="shared" ref="P354:P362" si="58">N354-25</f>
        <v>27</v>
      </c>
      <c r="Q354" s="3">
        <f t="shared" ref="Q354:Q362" si="59">O354-25</f>
        <v>36</v>
      </c>
    </row>
    <row r="355" spans="2:17" x14ac:dyDescent="0.25">
      <c r="C355" s="88"/>
      <c r="D355" s="88"/>
      <c r="E355" s="88"/>
      <c r="F355" s="88"/>
      <c r="G355" s="88"/>
      <c r="H355" s="88"/>
      <c r="I355" s="20" t="s">
        <v>10</v>
      </c>
      <c r="J355" s="16">
        <f>IFERROR(VLOOKUP(B353,TABLA1!$B$14:$BF$1596,28,FALSE),)</f>
        <v>0</v>
      </c>
      <c r="K355" s="16">
        <f>IFERROR(VLOOKUP(B353,TABLA1!$B$14:$BF$1596,40,FALSE),)</f>
        <v>0</v>
      </c>
      <c r="L355" s="13" t="str">
        <f>IFERROR(VLOOKUP(B354,TABLA1!$B$14:$BF$1596,28,FALSE),"-")</f>
        <v>-</v>
      </c>
      <c r="M355" s="13" t="str">
        <f>IFERROR(VLOOKUP(B354,TABLA1!$B$14:$BF$1596,40,FALSE),"-")</f>
        <v>-</v>
      </c>
    </row>
    <row r="356" spans="2:17" x14ac:dyDescent="0.25">
      <c r="C356" s="88"/>
      <c r="D356" s="88"/>
      <c r="E356" s="88"/>
      <c r="F356" s="88"/>
      <c r="G356" s="88"/>
      <c r="H356" s="88"/>
      <c r="I356" s="20" t="s">
        <v>11</v>
      </c>
      <c r="J356" s="13">
        <f>IFERROR(VLOOKUP(B353,TABLA1!$B$14:$BF$1596,29,FALSE),)</f>
        <v>0</v>
      </c>
      <c r="K356" s="13">
        <f>IFERROR(VLOOKUP(B353,TABLA1!$B$14:$BF$1596,41,FALSE),)</f>
        <v>0</v>
      </c>
      <c r="L356" s="13" t="str">
        <f>IFERROR(VLOOKUP(B354,TABLA1!$B$14:$BF$1596,29,FALSE),"-")</f>
        <v>-</v>
      </c>
      <c r="M356" s="13" t="str">
        <f>IFERROR(VLOOKUP(B354,TABLA1!$B$14:$BF$1596,41,FALSE),"-")</f>
        <v>-</v>
      </c>
    </row>
    <row r="357" spans="2:17" x14ac:dyDescent="0.25">
      <c r="C357" s="88"/>
      <c r="D357" s="88"/>
      <c r="E357" s="88"/>
      <c r="F357" s="88"/>
      <c r="G357" s="88"/>
      <c r="H357" s="88"/>
      <c r="I357" s="20" t="s">
        <v>48</v>
      </c>
      <c r="J357" s="16">
        <f>IFERROR(VLOOKUP(B353,TABLA1!$B$14:$BF$1596,31,FALSE),)</f>
        <v>0</v>
      </c>
      <c r="K357" s="16">
        <f>IFERROR(VLOOKUP(B353,TABLA1!$B$14:$BF$1596,43,FALSE),)</f>
        <v>0</v>
      </c>
      <c r="L357" s="13" t="str">
        <f>IFERROR(VLOOKUP(B354,TABLA1!$B$14:$BF$1596,31,FALSE),"-")</f>
        <v>-</v>
      </c>
      <c r="M357" s="13" t="str">
        <f>IFERROR(VLOOKUP(B354,TABLA1!$B$14:$BF$1596,43,FALSE),"-")</f>
        <v>-</v>
      </c>
    </row>
    <row r="358" spans="2:17" x14ac:dyDescent="0.25">
      <c r="C358" s="88"/>
      <c r="D358" s="88"/>
      <c r="E358" s="88"/>
      <c r="F358" s="88"/>
      <c r="G358" s="88"/>
      <c r="H358" s="88"/>
      <c r="I358" s="20" t="s">
        <v>49</v>
      </c>
      <c r="J358" s="16">
        <f>IFERROR(VLOOKUP(B353,TABLA1!$B$14:$BF$1596,30,FALSE),)</f>
        <v>0</v>
      </c>
      <c r="K358" s="16">
        <f>IFERROR(VLOOKUP(B353,TABLA1!$B$14:$BF$1596,42,FALSE),)</f>
        <v>0</v>
      </c>
      <c r="L358" s="13" t="str">
        <f>IFERROR(VLOOKUP(B354,TABLA1!$B$14:$BF$1596,30,FALSE),"-")</f>
        <v>-</v>
      </c>
      <c r="M358" s="13" t="str">
        <f>IFERROR(VLOOKUP(B354,TABLA1!$B$14:$BF$1596,42,FALSE),"-")</f>
        <v>-</v>
      </c>
      <c r="N358" s="3">
        <v>53</v>
      </c>
      <c r="O358" s="3">
        <v>62</v>
      </c>
      <c r="P358" s="3">
        <f t="shared" si="58"/>
        <v>28</v>
      </c>
      <c r="Q358" s="3">
        <f t="shared" si="59"/>
        <v>37</v>
      </c>
    </row>
    <row r="359" spans="2:17" x14ac:dyDescent="0.25">
      <c r="C359" s="88"/>
      <c r="D359" s="88"/>
      <c r="E359" s="88"/>
      <c r="F359" s="88"/>
      <c r="G359" s="88"/>
      <c r="H359" s="88"/>
      <c r="I359" s="20" t="s">
        <v>33</v>
      </c>
      <c r="J359" s="16">
        <f>IFERROR(VLOOKUP(B353,TABLA1!$B$14:$BF$1596,32,FALSE),)</f>
        <v>0</v>
      </c>
      <c r="K359" s="16">
        <f>IFERROR(VLOOKUP(B353,TABLA1!$B$14:$BF$1596,44,FALSE),)</f>
        <v>0</v>
      </c>
      <c r="L359" s="13" t="str">
        <f>IFERROR(VLOOKUP(B354,TABLA1!$B$14:$BF$1596,32,FALSE),"-")</f>
        <v>-</v>
      </c>
      <c r="M359" s="13" t="str">
        <f>IFERROR(VLOOKUP(B354,TABLA1!$B$14:$BF$1596,44,FALSE),"-")</f>
        <v>-</v>
      </c>
      <c r="N359" s="3">
        <v>54</v>
      </c>
      <c r="O359" s="3">
        <v>63</v>
      </c>
      <c r="P359" s="3">
        <f t="shared" si="58"/>
        <v>29</v>
      </c>
      <c r="Q359" s="3">
        <f t="shared" si="59"/>
        <v>38</v>
      </c>
    </row>
    <row r="360" spans="2:17" x14ac:dyDescent="0.25">
      <c r="C360" s="88"/>
      <c r="D360" s="88"/>
      <c r="E360" s="88"/>
      <c r="F360" s="88"/>
      <c r="G360" s="88"/>
      <c r="H360" s="88"/>
      <c r="I360" s="20" t="s">
        <v>50</v>
      </c>
      <c r="J360" s="16">
        <f>IFERROR(VLOOKUP(B353,TABLA1!$B$14:$BF$1596,35,FALSE),)</f>
        <v>0</v>
      </c>
      <c r="K360" s="16">
        <f>IFERROR(VLOOKUP(B353,TABLA1!$B$14:$BF$1596,47,FALSE),)</f>
        <v>0</v>
      </c>
      <c r="L360" s="13" t="str">
        <f>IFERROR(VLOOKUP(B354,TABLA1!$B$14:$BF$1596,35,FALSE),"-")</f>
        <v>-</v>
      </c>
      <c r="M360" s="13" t="str">
        <f>IFERROR(VLOOKUP(B354,TABLA1!$B$14:$BF$1596,47,FALSE),"-")</f>
        <v>-</v>
      </c>
      <c r="N360" s="3">
        <v>56</v>
      </c>
      <c r="O360" s="3">
        <v>65</v>
      </c>
      <c r="P360" s="3">
        <f t="shared" si="58"/>
        <v>31</v>
      </c>
      <c r="Q360" s="3">
        <f t="shared" si="59"/>
        <v>40</v>
      </c>
    </row>
    <row r="361" spans="2:17" x14ac:dyDescent="0.25">
      <c r="C361" s="88"/>
      <c r="D361" s="88"/>
      <c r="E361" s="88"/>
      <c r="F361" s="88"/>
      <c r="G361" s="88"/>
      <c r="H361" s="88"/>
      <c r="I361" s="20" t="s">
        <v>51</v>
      </c>
      <c r="J361" s="16">
        <f>IFERROR(VLOOKUP(B353,TABLA1!$B$14:$BF$1596,34,FALSE),)</f>
        <v>0</v>
      </c>
      <c r="K361" s="16">
        <f>IFERROR(VLOOKUP(B353,TABLA1!$B$14:$BF$1596,46,FALSE),)</f>
        <v>0</v>
      </c>
      <c r="L361" s="13" t="str">
        <f>IFERROR(VLOOKUP(B354,TABLA1!$B$14:$BF$1596,34,FALSE),"-")</f>
        <v>-</v>
      </c>
      <c r="M361" s="13" t="str">
        <f>IFERROR(VLOOKUP(B354,TABLA1!$B$14:$BF$1596,46,FALSE),"-")</f>
        <v>-</v>
      </c>
      <c r="N361" s="3">
        <v>57</v>
      </c>
      <c r="O361" s="3">
        <v>66</v>
      </c>
      <c r="P361" s="3">
        <f t="shared" si="58"/>
        <v>32</v>
      </c>
      <c r="Q361" s="3">
        <f t="shared" si="59"/>
        <v>41</v>
      </c>
    </row>
    <row r="362" spans="2:17" x14ac:dyDescent="0.25">
      <c r="C362" s="88"/>
      <c r="D362" s="88"/>
      <c r="E362" s="88"/>
      <c r="F362" s="88"/>
      <c r="G362" s="88"/>
      <c r="H362" s="88"/>
      <c r="I362" s="20" t="s">
        <v>34</v>
      </c>
      <c r="J362" s="16">
        <f>IFERROR(VLOOKUP(B353,TABLA1!$B$14:$BF$1596,36,FALSE),)</f>
        <v>0</v>
      </c>
      <c r="K362" s="16">
        <f>IFERROR(VLOOKUP(B353,TABLA1!$B$14:$BF$1596,48,FALSE),)</f>
        <v>0</v>
      </c>
      <c r="L362" s="13" t="str">
        <f>IFERROR(VLOOKUP(B354,TABLA1!$B$14:$BF$1596,36,FALSE),"-")</f>
        <v>-</v>
      </c>
      <c r="M362" s="13" t="str">
        <f>IFERROR(VLOOKUP(B354,TABLA1!$B$14:$BF$1596,48,FALSE),"-")</f>
        <v>-</v>
      </c>
      <c r="N362" s="3">
        <v>59</v>
      </c>
      <c r="O362" s="3">
        <v>68</v>
      </c>
      <c r="P362" s="3">
        <f t="shared" si="58"/>
        <v>34</v>
      </c>
      <c r="Q362" s="3">
        <f t="shared" si="59"/>
        <v>43</v>
      </c>
    </row>
    <row r="363" spans="2:17" x14ac:dyDescent="0.25">
      <c r="C363" s="88"/>
      <c r="D363" s="88"/>
      <c r="E363" s="88"/>
      <c r="F363" s="88"/>
      <c r="G363" s="88"/>
      <c r="H363" s="88"/>
      <c r="I363" s="20" t="s">
        <v>35</v>
      </c>
      <c r="J363" s="16"/>
      <c r="K363" s="16"/>
      <c r="L363" s="13"/>
      <c r="M363" s="13"/>
    </row>
    <row r="364" spans="2:17" x14ac:dyDescent="0.25">
      <c r="C364" s="88"/>
      <c r="D364" s="88"/>
      <c r="E364" s="88"/>
      <c r="F364" s="88"/>
      <c r="G364" s="88"/>
      <c r="H364" s="88"/>
      <c r="I364" s="20" t="s">
        <v>36</v>
      </c>
      <c r="J364" s="13"/>
      <c r="K364" s="13"/>
      <c r="L364" s="13"/>
      <c r="M364" s="13"/>
    </row>
  </sheetData>
  <autoFilter ref="C4:M16" xr:uid="{00000000-0009-0000-0000-000004000000}"/>
  <mergeCells count="191">
    <mergeCell ref="C353:C364"/>
    <mergeCell ref="D353:D364"/>
    <mergeCell ref="E353:E364"/>
    <mergeCell ref="F353:F364"/>
    <mergeCell ref="G353:G364"/>
    <mergeCell ref="H353:H364"/>
    <mergeCell ref="G317:G328"/>
    <mergeCell ref="H317:H328"/>
    <mergeCell ref="C329:C340"/>
    <mergeCell ref="D329:D340"/>
    <mergeCell ref="E329:E340"/>
    <mergeCell ref="F329:F340"/>
    <mergeCell ref="G329:G340"/>
    <mergeCell ref="H329:H340"/>
    <mergeCell ref="H269:H280"/>
    <mergeCell ref="H257:H268"/>
    <mergeCell ref="C269:C280"/>
    <mergeCell ref="D269:D280"/>
    <mergeCell ref="E269:E280"/>
    <mergeCell ref="F269:F280"/>
    <mergeCell ref="C257:C268"/>
    <mergeCell ref="G341:G352"/>
    <mergeCell ref="H341:H352"/>
    <mergeCell ref="H281:H292"/>
    <mergeCell ref="C281:C292"/>
    <mergeCell ref="D281:D292"/>
    <mergeCell ref="E281:E292"/>
    <mergeCell ref="C341:C352"/>
    <mergeCell ref="D341:D352"/>
    <mergeCell ref="E341:E352"/>
    <mergeCell ref="F341:F352"/>
    <mergeCell ref="C317:C328"/>
    <mergeCell ref="D317:D328"/>
    <mergeCell ref="E317:E328"/>
    <mergeCell ref="F317:F328"/>
    <mergeCell ref="H305:H316"/>
    <mergeCell ref="C305:C316"/>
    <mergeCell ref="D305:D316"/>
    <mergeCell ref="C149:C160"/>
    <mergeCell ref="D149:D160"/>
    <mergeCell ref="E149:E160"/>
    <mergeCell ref="F149:F160"/>
    <mergeCell ref="H137:H148"/>
    <mergeCell ref="C137:C148"/>
    <mergeCell ref="D137:D148"/>
    <mergeCell ref="E137:E148"/>
    <mergeCell ref="C293:C304"/>
    <mergeCell ref="D293:D304"/>
    <mergeCell ref="E293:E304"/>
    <mergeCell ref="F293:F304"/>
    <mergeCell ref="G293:G304"/>
    <mergeCell ref="H293:H304"/>
    <mergeCell ref="G185:G196"/>
    <mergeCell ref="H185:H196"/>
    <mergeCell ref="C197:C208"/>
    <mergeCell ref="D197:D208"/>
    <mergeCell ref="E197:E208"/>
    <mergeCell ref="F197:F208"/>
    <mergeCell ref="G197:G208"/>
    <mergeCell ref="H197:H208"/>
    <mergeCell ref="F281:F292"/>
    <mergeCell ref="G281:G292"/>
    <mergeCell ref="G53:G64"/>
    <mergeCell ref="H53:H64"/>
    <mergeCell ref="C65:C76"/>
    <mergeCell ref="D65:D76"/>
    <mergeCell ref="E65:E76"/>
    <mergeCell ref="F65:F76"/>
    <mergeCell ref="G65:G76"/>
    <mergeCell ref="H65:H76"/>
    <mergeCell ref="C77:C88"/>
    <mergeCell ref="D77:D88"/>
    <mergeCell ref="E77:E88"/>
    <mergeCell ref="F77:F88"/>
    <mergeCell ref="C53:C64"/>
    <mergeCell ref="D53:D64"/>
    <mergeCell ref="E53:E64"/>
    <mergeCell ref="F53:F64"/>
    <mergeCell ref="G77:G88"/>
    <mergeCell ref="H77:H88"/>
    <mergeCell ref="C89:C100"/>
    <mergeCell ref="D89:D100"/>
    <mergeCell ref="E89:E100"/>
    <mergeCell ref="F89:F100"/>
    <mergeCell ref="G89:G100"/>
    <mergeCell ref="H89:H100"/>
    <mergeCell ref="G149:G160"/>
    <mergeCell ref="H149:H160"/>
    <mergeCell ref="C161:C172"/>
    <mergeCell ref="D161:D172"/>
    <mergeCell ref="E161:E172"/>
    <mergeCell ref="F161:F172"/>
    <mergeCell ref="G161:G172"/>
    <mergeCell ref="H161:H172"/>
    <mergeCell ref="G113:G124"/>
    <mergeCell ref="H113:H124"/>
    <mergeCell ref="C125:C136"/>
    <mergeCell ref="D125:D136"/>
    <mergeCell ref="F137:F148"/>
    <mergeCell ref="G137:G148"/>
    <mergeCell ref="C113:C124"/>
    <mergeCell ref="D113:D124"/>
    <mergeCell ref="E113:E124"/>
    <mergeCell ref="F113:F124"/>
    <mergeCell ref="E305:E316"/>
    <mergeCell ref="F305:F316"/>
    <mergeCell ref="G305:G316"/>
    <mergeCell ref="D257:D268"/>
    <mergeCell ref="E257:E268"/>
    <mergeCell ref="F257:F268"/>
    <mergeCell ref="G257:G268"/>
    <mergeCell ref="G245:G256"/>
    <mergeCell ref="G269:G280"/>
    <mergeCell ref="H245:H256"/>
    <mergeCell ref="H233:H244"/>
    <mergeCell ref="C245:C256"/>
    <mergeCell ref="D245:D256"/>
    <mergeCell ref="E245:E256"/>
    <mergeCell ref="F245:F256"/>
    <mergeCell ref="H221:H232"/>
    <mergeCell ref="C233:C244"/>
    <mergeCell ref="D233:D244"/>
    <mergeCell ref="E233:E244"/>
    <mergeCell ref="F233:F244"/>
    <mergeCell ref="G233:G244"/>
    <mergeCell ref="H209:H220"/>
    <mergeCell ref="C221:C232"/>
    <mergeCell ref="D221:D232"/>
    <mergeCell ref="E221:E232"/>
    <mergeCell ref="F221:F232"/>
    <mergeCell ref="G221:G232"/>
    <mergeCell ref="C209:C220"/>
    <mergeCell ref="D209:D220"/>
    <mergeCell ref="E209:E220"/>
    <mergeCell ref="F209:F220"/>
    <mergeCell ref="G209:G220"/>
    <mergeCell ref="C185:C196"/>
    <mergeCell ref="D185:D196"/>
    <mergeCell ref="E185:E196"/>
    <mergeCell ref="F185:F196"/>
    <mergeCell ref="H173:H184"/>
    <mergeCell ref="C173:C184"/>
    <mergeCell ref="D173:D184"/>
    <mergeCell ref="E173:E184"/>
    <mergeCell ref="F173:F184"/>
    <mergeCell ref="G173:G184"/>
    <mergeCell ref="G101:G112"/>
    <mergeCell ref="H101:H112"/>
    <mergeCell ref="C101:C112"/>
    <mergeCell ref="D101:D112"/>
    <mergeCell ref="E101:E112"/>
    <mergeCell ref="F101:F112"/>
    <mergeCell ref="E125:E136"/>
    <mergeCell ref="F125:F136"/>
    <mergeCell ref="G125:G136"/>
    <mergeCell ref="H125:H136"/>
    <mergeCell ref="H41:H52"/>
    <mergeCell ref="C41:C52"/>
    <mergeCell ref="D41:D52"/>
    <mergeCell ref="E41:E52"/>
    <mergeCell ref="F41:F52"/>
    <mergeCell ref="G41:G52"/>
    <mergeCell ref="C29:C40"/>
    <mergeCell ref="D29:D40"/>
    <mergeCell ref="E29:E40"/>
    <mergeCell ref="F29:F40"/>
    <mergeCell ref="G29:G40"/>
    <mergeCell ref="H29:H40"/>
    <mergeCell ref="C1:M1"/>
    <mergeCell ref="C2:C4"/>
    <mergeCell ref="D2:D4"/>
    <mergeCell ref="G2:G4"/>
    <mergeCell ref="H2:H4"/>
    <mergeCell ref="I2:I4"/>
    <mergeCell ref="J2:M2"/>
    <mergeCell ref="E3:E4"/>
    <mergeCell ref="H17:H28"/>
    <mergeCell ref="H5:H16"/>
    <mergeCell ref="F3:F4"/>
    <mergeCell ref="L3:M3"/>
    <mergeCell ref="C5:C16"/>
    <mergeCell ref="D5:D16"/>
    <mergeCell ref="E5:E16"/>
    <mergeCell ref="F5:F16"/>
    <mergeCell ref="G5:G16"/>
    <mergeCell ref="J3:K3"/>
    <mergeCell ref="C17:C28"/>
    <mergeCell ref="D17:D28"/>
    <mergeCell ref="E17:E28"/>
    <mergeCell ref="F17:F28"/>
    <mergeCell ref="G17:G28"/>
  </mergeCells>
  <pageMargins left="0.25" right="0.25" top="0.75" bottom="0.75" header="0.3" footer="0.3"/>
  <pageSetup paperSize="119" fitToHeight="0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pageSetUpPr fitToPage="1"/>
  </sheetPr>
  <dimension ref="A1:N166"/>
  <sheetViews>
    <sheetView workbookViewId="0"/>
  </sheetViews>
  <sheetFormatPr baseColWidth="10" defaultRowHeight="15" x14ac:dyDescent="0.25"/>
  <cols>
    <col min="1" max="1" width="4.42578125" style="14" customWidth="1"/>
    <col min="2" max="2" width="23.28515625" style="22" customWidth="1"/>
    <col min="3" max="3" width="12.7109375" style="15" bestFit="1" customWidth="1"/>
    <col min="4" max="4" width="18.7109375" style="15" bestFit="1" customWidth="1"/>
    <col min="5" max="6" width="18.7109375" style="15" customWidth="1"/>
    <col min="7" max="7" width="7.5703125" style="15" bestFit="1" customWidth="1"/>
    <col min="8" max="8" width="12.140625" style="15" customWidth="1"/>
    <col min="9" max="10" width="10.42578125" style="15" bestFit="1" customWidth="1"/>
    <col min="11" max="11" width="6.7109375" bestFit="1" customWidth="1"/>
    <col min="12" max="12" width="11.5703125" bestFit="1" customWidth="1"/>
    <col min="14" max="14" width="8" bestFit="1" customWidth="1"/>
  </cols>
  <sheetData>
    <row r="1" spans="2:14" ht="11.1" customHeight="1" x14ac:dyDescent="0.25">
      <c r="C1" s="92" t="s">
        <v>25</v>
      </c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</row>
    <row r="2" spans="2:14" ht="23.25" customHeight="1" x14ac:dyDescent="0.25">
      <c r="C2" s="87" t="s">
        <v>1</v>
      </c>
      <c r="D2" s="87" t="s">
        <v>37</v>
      </c>
      <c r="E2" s="53" t="s">
        <v>2</v>
      </c>
      <c r="F2" s="53" t="s">
        <v>3</v>
      </c>
      <c r="G2" s="87" t="s">
        <v>39</v>
      </c>
      <c r="H2" s="87" t="s">
        <v>55</v>
      </c>
      <c r="I2" s="87" t="s">
        <v>56</v>
      </c>
      <c r="J2" s="87" t="s">
        <v>57</v>
      </c>
      <c r="K2" s="87" t="s">
        <v>10</v>
      </c>
      <c r="L2" s="87" t="s">
        <v>38</v>
      </c>
      <c r="M2" s="87" t="s">
        <v>62</v>
      </c>
      <c r="N2" s="87"/>
    </row>
    <row r="3" spans="2:14" ht="11.1" customHeight="1" x14ac:dyDescent="0.25">
      <c r="C3" s="87"/>
      <c r="D3" s="87"/>
      <c r="E3" s="87" t="s">
        <v>4</v>
      </c>
      <c r="F3" s="87" t="s">
        <v>5</v>
      </c>
      <c r="G3" s="87"/>
      <c r="H3" s="87" t="s">
        <v>30</v>
      </c>
      <c r="I3" s="87"/>
      <c r="J3" s="87"/>
      <c r="K3" s="87"/>
      <c r="L3" s="87"/>
      <c r="M3" s="87" t="s">
        <v>31</v>
      </c>
      <c r="N3" s="87" t="s">
        <v>32</v>
      </c>
    </row>
    <row r="4" spans="2:14" ht="11.1" customHeight="1" x14ac:dyDescent="0.25"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</row>
    <row r="5" spans="2:14" ht="10.5" customHeight="1" x14ac:dyDescent="0.25">
      <c r="B5" s="22" t="str">
        <f>TABLA1!B14</f>
        <v>R_K3-2-K2</v>
      </c>
      <c r="C5" s="89" t="str">
        <f>VLOOKUP(B5,TABLA1!$B$14:$BF$1596,2,FALSE)</f>
        <v>K3-2</v>
      </c>
      <c r="D5" s="89">
        <f>VLOOKUP(B5,TABLA1!$B$14:$BF$1596,3,FALSE)</f>
        <v>0</v>
      </c>
      <c r="E5" s="89" t="str">
        <f>VLOOKUP(B5,TABLA1!$B$14:$BF$1596,6,FALSE)&amp;"/"&amp;VLOOKUP(B5,TABLA1!$B$14:$BF$1596,7,FALSE)</f>
        <v>400/5</v>
      </c>
      <c r="F5" s="89">
        <f>VLOOKUP(B5,TABLA1!$B$14:$BF$1596,8,FALSE)</f>
        <v>0</v>
      </c>
      <c r="G5" s="54" t="str">
        <f>IF(IFERROR(VLOOKUP($B5,TABLA1!$B$14:$BF$1596,10,FALSE),"-")="ADELANTE","67-1",IF(IFERROR(VLOOKUP($B5,TABLA1!$B$14:$BF$1596,10,FALSE),"-")="BIDIECCIONAL","51","-"))</f>
        <v>67-1</v>
      </c>
      <c r="H5" s="54">
        <v>900</v>
      </c>
      <c r="I5" s="12">
        <f>IFERROR(VLOOKUP($B5,TABLA1!$B$14:$BF$1596,28,FALSE),"-")</f>
        <v>440.00000000000006</v>
      </c>
      <c r="J5" s="18">
        <f>IFERROR(VLOOKUP($B5,TABLA1!$B$14:$BF$1596,27,FALSE),"-")</f>
        <v>1.1000000000000001</v>
      </c>
      <c r="K5" s="12" t="str">
        <f>IFERROR(VLOOKUP($B5,TABLA1!$B$14:$BF$1596,29,FALSE),"-")</f>
        <v>IEC NI</v>
      </c>
      <c r="L5" s="18">
        <f>IFERROR(VLOOKUP($B5,TABLA1!$B$14:$BF$1596,30,FALSE),"-")</f>
        <v>0.18</v>
      </c>
      <c r="M5" s="18" t="s">
        <v>61</v>
      </c>
      <c r="N5" s="18" t="s">
        <v>61</v>
      </c>
    </row>
    <row r="6" spans="2:14" x14ac:dyDescent="0.25">
      <c r="C6" s="90"/>
      <c r="D6" s="90"/>
      <c r="E6" s="90"/>
      <c r="F6" s="90"/>
      <c r="G6" s="12" t="str">
        <f>IF(IFERROR(VLOOKUP($B5,TABLA1!$B$14:$BF$1596,10+3,FALSE),"-")="ADELANTE","67-2",IF(IFERROR(VLOOKUP($B5,TABLA1!$B$14:$BF$1596,10+3,FALSE),"-")="BIDIECCIONAL","50-1","-"))</f>
        <v>-</v>
      </c>
      <c r="H6" s="12" t="str">
        <f>IFERROR(VLOOKUP($B5,TABLA1!$B$14:$BF$1596,31,FALSE),"-")</f>
        <v>-</v>
      </c>
      <c r="I6" s="12" t="str">
        <f>IFERROR(VLOOKUP($B5,TABLA1!$B$14:$BF$1596,32,FALSE),"-")</f>
        <v>-</v>
      </c>
      <c r="J6" s="18" t="str">
        <f>IFERROR(VLOOKUP($B5,TABLA1!$B$14:$BF$1596,31,FALSE),"-")</f>
        <v>-</v>
      </c>
      <c r="K6" s="12" t="str">
        <f>IFERROR(VLOOKUP($B5,TABLA1!$B$14:$BF$1596,33,FALSE),"-")</f>
        <v>TD</v>
      </c>
      <c r="L6" s="18" t="str">
        <f>IFERROR(VLOOKUP($B5,TABLA1!$B$14:$BF$1596,34,FALSE),"-")</f>
        <v>-</v>
      </c>
      <c r="M6" s="18" t="s">
        <v>61</v>
      </c>
      <c r="N6" s="18" t="s">
        <v>61</v>
      </c>
    </row>
    <row r="7" spans="2:14" x14ac:dyDescent="0.25">
      <c r="C7" s="90"/>
      <c r="D7" s="90"/>
      <c r="E7" s="90"/>
      <c r="F7" s="90"/>
      <c r="G7" s="12" t="str">
        <f>IF(IFERROR(VLOOKUP($B5,TABLA1!$B$14:$BF$1596,10+6,FALSE),"-")="ADELANTE","67-3",IF(IFERROR(VLOOKUP($B5,TABLA1!$B$14:$BF$1596,10+6,FALSE),"-")="BIDIECCIONAL","50-2","-"))</f>
        <v>-</v>
      </c>
      <c r="H7" s="12"/>
      <c r="I7" s="12" t="str">
        <f>IFERROR(VLOOKUP($B5,TABLA1!$B$14:$BF$1596,36,FALSE),"-")</f>
        <v>-</v>
      </c>
      <c r="J7" s="18" t="str">
        <f>IFERROR(VLOOKUP($B5,TABLA1!$B$14:$BF$1596,35,FALSE),"-")</f>
        <v>-</v>
      </c>
      <c r="K7" s="12" t="str">
        <f>IFERROR(VLOOKUP($B5,TABLA1!$B$14:$BF$1596,37,FALSE),"-")</f>
        <v>TD</v>
      </c>
      <c r="L7" s="18" t="str">
        <f>IFERROR(VLOOKUP($B5,TABLA1!$B$14:$BF$1596,38,FALSE),"-")</f>
        <v>-</v>
      </c>
      <c r="M7" s="18" t="s">
        <v>61</v>
      </c>
      <c r="N7" s="18" t="s">
        <v>61</v>
      </c>
    </row>
    <row r="8" spans="2:14" x14ac:dyDescent="0.25">
      <c r="C8" s="90"/>
      <c r="D8" s="90"/>
      <c r="E8" s="90"/>
      <c r="F8" s="90"/>
      <c r="G8" s="12" t="str">
        <f>IF(IFERROR(VLOOKUP($B5,TABLA1!$B$14:$BF$1596,10+9,FALSE),"-")="ADELANTE","67N-1",IF(IFERROR(VLOOKUP($B5,TABLA1!$B$14:$BF$1596,10+9,FALSE),"-")="BIDIECCIONAL","51N","-"))</f>
        <v>67N-1</v>
      </c>
      <c r="H8" s="12"/>
      <c r="I8" s="12">
        <f>IFERROR(VLOOKUP($B5,TABLA1!$B$14:$BF$1596,40,FALSE),"-")</f>
        <v>120</v>
      </c>
      <c r="J8" s="18">
        <f>IFERROR(VLOOKUP($B5,TABLA1!$B$14:$BF$1596,39,FALSE),"-")</f>
        <v>0.3</v>
      </c>
      <c r="K8" s="12" t="str">
        <f>IFERROR(VLOOKUP($B5,TABLA1!$B$14:$BF$1596,41,FALSE),"-")</f>
        <v>IEC NI</v>
      </c>
      <c r="L8" s="18">
        <f>IFERROR(VLOOKUP($B5,TABLA1!$B$14:$BF$1596,42,FALSE),"-")</f>
        <v>0.18</v>
      </c>
      <c r="M8" s="18" t="s">
        <v>61</v>
      </c>
      <c r="N8" s="18" t="s">
        <v>61</v>
      </c>
    </row>
    <row r="9" spans="2:14" x14ac:dyDescent="0.25">
      <c r="C9" s="90"/>
      <c r="D9" s="90"/>
      <c r="E9" s="90"/>
      <c r="F9" s="90"/>
      <c r="G9" s="12" t="str">
        <f>IF(IFERROR(VLOOKUP($B5,TABLA1!$B$14:$BF$1596,10+12,FALSE),"-")="ADELANTE","67N-2",IF(IFERROR(VLOOKUP($B5,TABLA1!$B$14:$BF$1596,10+12,FALSE),"-")="BIDIECCIONAL","50N/1","-"))</f>
        <v>-</v>
      </c>
      <c r="H9" s="12"/>
      <c r="I9" s="12" t="str">
        <f>IFERROR(VLOOKUP($B5,TABLA1!$B$14:$BF$1596,44,FALSE),"-")</f>
        <v>-</v>
      </c>
      <c r="J9" s="18" t="str">
        <f>IFERROR(VLOOKUP($B5,TABLA1!$B$14:$BF$1596,43,FALSE),"-")</f>
        <v>-</v>
      </c>
      <c r="K9" s="12" t="str">
        <f>IFERROR(VLOOKUP($B5,TABLA1!$B$14:$BF$1596,45,FALSE),"-")</f>
        <v>TD</v>
      </c>
      <c r="L9" s="18" t="str">
        <f>IFERROR(VLOOKUP($B5,TABLA1!$B$14:$BF$1596,46,FALSE),"-")</f>
        <v>-</v>
      </c>
      <c r="M9" s="18" t="s">
        <v>61</v>
      </c>
      <c r="N9" s="18" t="s">
        <v>61</v>
      </c>
    </row>
    <row r="10" spans="2:14" x14ac:dyDescent="0.25">
      <c r="C10" s="91"/>
      <c r="D10" s="91"/>
      <c r="E10" s="91"/>
      <c r="F10" s="91"/>
      <c r="G10" s="12" t="str">
        <f>IF(IFERROR(VLOOKUP($B5,TABLA1!$B$14:$BF$1596,10+15,FALSE),"-")="ADELANTE","67N-3",IF(IFERROR(VLOOKUP($B5,TABLA1!$B$14:$BF$1596,10+15,FALSE),"-")="BIDIECCIONAL","50N-2","-"))</f>
        <v>-</v>
      </c>
      <c r="H10" s="12"/>
      <c r="I10" s="12" t="str">
        <f>IFERROR(VLOOKUP($B5,TABLA1!$B$14:$BF$1596,48,FALSE),"-")</f>
        <v>-</v>
      </c>
      <c r="J10" s="18" t="str">
        <f>IFERROR(VLOOKUP($B5,TABLA1!$B$14:$BF$1596,47,FALSE),"-")</f>
        <v>-</v>
      </c>
      <c r="K10" s="12" t="str">
        <f>IFERROR(VLOOKUP($B5,TABLA1!$B$14:$BF$1596,49,FALSE),"-")</f>
        <v>TD</v>
      </c>
      <c r="L10" s="18" t="str">
        <f>IFERROR(VLOOKUP($B5,TABLA1!$B$14:$BF$1596,50,FALSE),"-")</f>
        <v>-</v>
      </c>
      <c r="M10" s="18" t="s">
        <v>61</v>
      </c>
      <c r="N10" s="18" t="s">
        <v>61</v>
      </c>
    </row>
    <row r="11" spans="2:14" x14ac:dyDescent="0.25">
      <c r="B11" s="22" t="str">
        <f>TABLA1!B15</f>
        <v>R_TR</v>
      </c>
      <c r="C11" s="89" t="str">
        <f>VLOOKUP(B11,TABLA1!$B$14:$BF$1596,2,FALSE)</f>
        <v>K4-2</v>
      </c>
      <c r="D11" s="89">
        <f>VLOOKUP(B11,TABLA1!$B$14:$BF$1596,3,FALSE)</f>
        <v>0</v>
      </c>
      <c r="E11" s="89" t="str">
        <f>VLOOKUP(B11,TABLA1!$B$14:$BF$1596,6,FALSE)&amp;"/"&amp;VLOOKUP(B11,TABLA1!$B$14:$BF$1596,7,FALSE)</f>
        <v>100/5</v>
      </c>
      <c r="F11" s="89">
        <f>VLOOKUP(B11,TABLA1!$B$14:$BF$1596,8,FALSE)</f>
        <v>0</v>
      </c>
      <c r="G11" s="54" t="str">
        <f>IF(IFERROR(VLOOKUP($B11,TABLA1!$B$14:$BF$1596,10,FALSE),"-")="ADELANTE","67-1",IF(IFERROR(VLOOKUP($B11,TABLA1!$B$14:$BF$1596,10,FALSE),"-")="BIDIECCIONAL","51","-"))</f>
        <v>51</v>
      </c>
      <c r="H11" s="54">
        <v>900</v>
      </c>
      <c r="I11" s="12">
        <f>IFERROR(VLOOKUP($B11,TABLA1!$B$14:$BF$1596,28,FALSE),"-")</f>
        <v>80</v>
      </c>
      <c r="J11" s="18">
        <f>IFERROR(VLOOKUP($B11,TABLA1!$B$14:$BF$1596,27,FALSE),"-")</f>
        <v>0.8</v>
      </c>
      <c r="K11" s="12" t="str">
        <f>IFERROR(VLOOKUP($B11,TABLA1!$B$14:$BF$1596,29,FALSE),"-")</f>
        <v>IEC NI</v>
      </c>
      <c r="L11" s="18">
        <f>IFERROR(VLOOKUP($B11,TABLA1!$B$14:$BF$1596,30,FALSE),"-")</f>
        <v>0.18</v>
      </c>
      <c r="M11" s="18" t="s">
        <v>61</v>
      </c>
      <c r="N11" s="18" t="s">
        <v>61</v>
      </c>
    </row>
    <row r="12" spans="2:14" x14ac:dyDescent="0.25">
      <c r="C12" s="90"/>
      <c r="D12" s="90"/>
      <c r="E12" s="90"/>
      <c r="F12" s="90"/>
      <c r="G12" s="12" t="str">
        <f>IF(IFERROR(VLOOKUP($B11,TABLA1!$B$14:$BF$1596,10+3,FALSE),"-")="ADELANTE","67-2",IF(IFERROR(VLOOKUP($B11,TABLA1!$B$14:$BF$1596,10+3,FALSE),"-")="BIDIECCIONAL","50-1","-"))</f>
        <v>-</v>
      </c>
      <c r="H12" s="12"/>
      <c r="I12" s="12" t="str">
        <f>IFERROR(VLOOKUP($B11,TABLA1!$B$14:$BF$1596,32,FALSE),"-")</f>
        <v>-</v>
      </c>
      <c r="J12" s="18" t="str">
        <f>IFERROR(VLOOKUP($B11,TABLA1!$B$14:$BF$1596,31,FALSE),"-")</f>
        <v>-</v>
      </c>
      <c r="K12" s="12" t="str">
        <f>IFERROR(VLOOKUP($B11,TABLA1!$B$14:$BF$1596,33,FALSE),"-")</f>
        <v>TD</v>
      </c>
      <c r="L12" s="18" t="str">
        <f>IFERROR(VLOOKUP($B11,TABLA1!$B$14:$BF$1596,34,FALSE),"-")</f>
        <v>-</v>
      </c>
      <c r="M12" s="18" t="s">
        <v>61</v>
      </c>
      <c r="N12" s="18" t="s">
        <v>61</v>
      </c>
    </row>
    <row r="13" spans="2:14" x14ac:dyDescent="0.25">
      <c r="C13" s="90"/>
      <c r="D13" s="90"/>
      <c r="E13" s="90"/>
      <c r="F13" s="90"/>
      <c r="G13" s="12" t="str">
        <f>IF(IFERROR(VLOOKUP($B11,TABLA1!$B$14:$BF$1596,10+6,FALSE),"-")="ADELANTE","67-3",IF(IFERROR(VLOOKUP($B11,TABLA1!$B$14:$BF$1596,10+6,FALSE),"-")="BIDIECCIONAL","50-2","-"))</f>
        <v>-</v>
      </c>
      <c r="H13" s="12"/>
      <c r="I13" s="12" t="str">
        <f>IFERROR(VLOOKUP($B11,TABLA1!$B$14:$BF$1596,36,FALSE),"-")</f>
        <v>-</v>
      </c>
      <c r="J13" s="18" t="str">
        <f>IFERROR(VLOOKUP($B11,TABLA1!$B$14:$BF$1596,35,FALSE),"-")</f>
        <v>-</v>
      </c>
      <c r="K13" s="12" t="str">
        <f>IFERROR(VLOOKUP($B11,TABLA1!$B$14:$BF$1596,37,FALSE),"-")</f>
        <v>TD</v>
      </c>
      <c r="L13" s="18" t="str">
        <f>IFERROR(VLOOKUP($B11,TABLA1!$B$14:$BF$1596,38,FALSE),"-")</f>
        <v>-</v>
      </c>
      <c r="M13" s="18" t="s">
        <v>61</v>
      </c>
      <c r="N13" s="18" t="s">
        <v>61</v>
      </c>
    </row>
    <row r="14" spans="2:14" x14ac:dyDescent="0.25">
      <c r="C14" s="90"/>
      <c r="D14" s="90"/>
      <c r="E14" s="90"/>
      <c r="F14" s="90"/>
      <c r="G14" s="12" t="str">
        <f>IF(IFERROR(VLOOKUP($B11,TABLA1!$B$14:$BF$1596,10+9,FALSE),"-")="ADELANTE","67N-1",IF(IFERROR(VLOOKUP($B11,TABLA1!$B$14:$BF$1596,10+9,FALSE),"-")="BIDIECCIONAL","51N","-"))</f>
        <v>51N</v>
      </c>
      <c r="H14" s="12"/>
      <c r="I14" s="12">
        <f>IFERROR(VLOOKUP($B11,TABLA1!$B$14:$BF$1596,40,FALSE),"-")</f>
        <v>25</v>
      </c>
      <c r="J14" s="18">
        <f>IFERROR(VLOOKUP($B11,TABLA1!$B$14:$BF$1596,39,FALSE),"-")</f>
        <v>0.25</v>
      </c>
      <c r="K14" s="12" t="str">
        <f>IFERROR(VLOOKUP($B11,TABLA1!$B$14:$BF$1596,41,FALSE),"-")</f>
        <v>IEC NI</v>
      </c>
      <c r="L14" s="18">
        <f>IFERROR(VLOOKUP($B11,TABLA1!$B$14:$BF$1596,42,FALSE),"-")</f>
        <v>0.18</v>
      </c>
      <c r="M14" s="18" t="s">
        <v>61</v>
      </c>
      <c r="N14" s="18" t="s">
        <v>61</v>
      </c>
    </row>
    <row r="15" spans="2:14" x14ac:dyDescent="0.25">
      <c r="C15" s="90"/>
      <c r="D15" s="90"/>
      <c r="E15" s="90"/>
      <c r="F15" s="90"/>
      <c r="G15" s="12" t="str">
        <f>IF(IFERROR(VLOOKUP($B11,TABLA1!$B$14:$BF$1596,10+12,FALSE),"-")="ADELANTE","67N-2",IF(IFERROR(VLOOKUP($B11,TABLA1!$B$14:$BF$1596,10+12,FALSE),"-")="BIDIECCIONAL","50N/1","-"))</f>
        <v>-</v>
      </c>
      <c r="H15" s="12"/>
      <c r="I15" s="12" t="str">
        <f>IFERROR(VLOOKUP($B11,TABLA1!$B$14:$BF$1596,44,FALSE),"-")</f>
        <v>-</v>
      </c>
      <c r="J15" s="18" t="str">
        <f>IFERROR(VLOOKUP($B11,TABLA1!$B$14:$BF$1596,43,FALSE),"-")</f>
        <v>-</v>
      </c>
      <c r="K15" s="12" t="str">
        <f>IFERROR(VLOOKUP($B11,TABLA1!$B$14:$BF$1596,45,FALSE),"-")</f>
        <v>TD</v>
      </c>
      <c r="L15" s="18" t="str">
        <f>IFERROR(VLOOKUP($B11,TABLA1!$B$14:$BF$1596,46,FALSE),"-")</f>
        <v>-</v>
      </c>
      <c r="M15" s="18" t="s">
        <v>61</v>
      </c>
      <c r="N15" s="18" t="s">
        <v>61</v>
      </c>
    </row>
    <row r="16" spans="2:14" x14ac:dyDescent="0.25">
      <c r="C16" s="91"/>
      <c r="D16" s="91"/>
      <c r="E16" s="91"/>
      <c r="F16" s="91"/>
      <c r="G16" s="12" t="str">
        <f>IF(IFERROR(VLOOKUP($B11,TABLA1!$B$14:$BF$1596,10+15,FALSE),"-")="ADELANTE","67N-3",IF(IFERROR(VLOOKUP($B11,TABLA1!$B$14:$BF$1596,10+15,FALSE),"-")="BIDIECCIONAL","50N-2","-"))</f>
        <v>-</v>
      </c>
      <c r="H16" s="12"/>
      <c r="I16" s="12" t="str">
        <f>IFERROR(VLOOKUP($B11,TABLA1!$B$14:$BF$1596,48,FALSE),"-")</f>
        <v>-</v>
      </c>
      <c r="J16" s="18" t="str">
        <f>IFERROR(VLOOKUP($B11,TABLA1!$B$14:$BF$1596,47,FALSE),"-")</f>
        <v>-</v>
      </c>
      <c r="K16" s="12" t="str">
        <f>IFERROR(VLOOKUP($B11,TABLA1!$B$14:$BF$1596,49,FALSE),"-")</f>
        <v>TD</v>
      </c>
      <c r="L16" s="18" t="str">
        <f>IFERROR(VLOOKUP($B11,TABLA1!$B$14:$BF$1596,50,FALSE),"-")</f>
        <v>-</v>
      </c>
      <c r="M16" s="18" t="s">
        <v>61</v>
      </c>
      <c r="N16" s="18" t="s">
        <v>61</v>
      </c>
    </row>
    <row r="17" spans="2:14" x14ac:dyDescent="0.25">
      <c r="B17" s="22" t="str">
        <f>TABLA1!B16</f>
        <v>R_TR-K3-2</v>
      </c>
      <c r="C17" s="89" t="str">
        <f>VLOOKUP(B17,TABLA1!$B$14:$BF$1596,2,FALSE)</f>
        <v>K4-2</v>
      </c>
      <c r="D17" s="89">
        <f>VLOOKUP(B17,TABLA1!$B$14:$BF$1596,3,FALSE)</f>
        <v>0</v>
      </c>
      <c r="E17" s="89" t="str">
        <f>VLOOKUP(B17,TABLA1!$B$14:$BF$1596,6,FALSE)&amp;"/"&amp;VLOOKUP(B17,TABLA1!$B$14:$BF$1596,7,FALSE)</f>
        <v>400/5</v>
      </c>
      <c r="F17" s="89">
        <f>VLOOKUP(B17,TABLA1!$B$14:$BF$1596,8,FALSE)</f>
        <v>0</v>
      </c>
      <c r="G17" s="54" t="str">
        <f>IF(IFERROR(VLOOKUP($B17,TABLA1!$B$14:$BF$1596,10,FALSE),"-")="ADELANTE","67-1",IF(IFERROR(VLOOKUP($B17,TABLA1!$B$14:$BF$1596,10,FALSE),"-")="BIDIECCIONAL","51","-"))</f>
        <v>67-1</v>
      </c>
      <c r="H17" s="54">
        <v>900</v>
      </c>
      <c r="I17" s="12">
        <f>IFERROR(VLOOKUP($B17,TABLA1!$B$14:$BF$1596,28,FALSE),"-")</f>
        <v>440.00000000000006</v>
      </c>
      <c r="J17" s="18">
        <f>IFERROR(VLOOKUP($B17,TABLA1!$B$14:$BF$1596,27,FALSE),"-")</f>
        <v>1.1000000000000001</v>
      </c>
      <c r="K17" s="12" t="str">
        <f>IFERROR(VLOOKUP($B17,TABLA1!$B$14:$BF$1596,29,FALSE),"-")</f>
        <v>IEC NI</v>
      </c>
      <c r="L17" s="18">
        <f>IFERROR(VLOOKUP($B17,TABLA1!$B$14:$BF$1596,30,FALSE),"-")</f>
        <v>0.18</v>
      </c>
      <c r="M17" s="18" t="s">
        <v>61</v>
      </c>
      <c r="N17" s="18" t="s">
        <v>61</v>
      </c>
    </row>
    <row r="18" spans="2:14" x14ac:dyDescent="0.25">
      <c r="C18" s="90"/>
      <c r="D18" s="90"/>
      <c r="E18" s="90"/>
      <c r="F18" s="90"/>
      <c r="G18" s="12" t="str">
        <f>IF(IFERROR(VLOOKUP($B17,TABLA1!$B$14:$BF$1596,10+3,FALSE),"-")="ADELANTE","67-2",IF(IFERROR(VLOOKUP($B17,TABLA1!$B$14:$BF$1596,10+3,FALSE),"-")="BIDIECCIONAL","50-1","-"))</f>
        <v>-</v>
      </c>
      <c r="H18" s="12"/>
      <c r="I18" s="12" t="str">
        <f>IFERROR(VLOOKUP($B17,TABLA1!$B$14:$BF$1596,32,FALSE),"-")</f>
        <v>-</v>
      </c>
      <c r="J18" s="18" t="str">
        <f>IFERROR(VLOOKUP($B17,TABLA1!$B$14:$BF$1596,31,FALSE),"-")</f>
        <v>-</v>
      </c>
      <c r="K18" s="12" t="str">
        <f>IFERROR(VLOOKUP($B17,TABLA1!$B$14:$BF$1596,33,FALSE),"-")</f>
        <v>TD</v>
      </c>
      <c r="L18" s="18" t="str">
        <f>IFERROR(VLOOKUP($B17,TABLA1!$B$14:$BF$1596,34,FALSE),"-")</f>
        <v>-</v>
      </c>
      <c r="M18" s="18" t="s">
        <v>61</v>
      </c>
      <c r="N18" s="18" t="s">
        <v>61</v>
      </c>
    </row>
    <row r="19" spans="2:14" x14ac:dyDescent="0.25">
      <c r="C19" s="90"/>
      <c r="D19" s="90"/>
      <c r="E19" s="90"/>
      <c r="F19" s="90"/>
      <c r="G19" s="12" t="str">
        <f>IF(IFERROR(VLOOKUP($B17,TABLA1!$B$14:$BF$1596,10+6,FALSE),"-")="ADELANTE","67-3",IF(IFERROR(VLOOKUP($B17,TABLA1!$B$14:$BF$1596,10+6,FALSE),"-")="BIDIECCIONAL","50-2","-"))</f>
        <v>-</v>
      </c>
      <c r="H19" s="12"/>
      <c r="I19" s="12" t="str">
        <f>IFERROR(VLOOKUP($B17,TABLA1!$B$14:$BF$1596,36,FALSE),"-")</f>
        <v>-</v>
      </c>
      <c r="J19" s="18" t="str">
        <f>IFERROR(VLOOKUP($B17,TABLA1!$B$14:$BF$1596,35,FALSE),"-")</f>
        <v>-</v>
      </c>
      <c r="K19" s="12" t="str">
        <f>IFERROR(VLOOKUP($B17,TABLA1!$B$14:$BF$1596,37,FALSE),"-")</f>
        <v>TD</v>
      </c>
      <c r="L19" s="18" t="str">
        <f>IFERROR(VLOOKUP($B17,TABLA1!$B$14:$BF$1596,38,FALSE),"-")</f>
        <v>-</v>
      </c>
      <c r="M19" s="18" t="s">
        <v>61</v>
      </c>
      <c r="N19" s="18" t="s">
        <v>61</v>
      </c>
    </row>
    <row r="20" spans="2:14" x14ac:dyDescent="0.25">
      <c r="C20" s="90"/>
      <c r="D20" s="90"/>
      <c r="E20" s="90"/>
      <c r="F20" s="90"/>
      <c r="G20" s="12" t="str">
        <f>IF(IFERROR(VLOOKUP($B17,TABLA1!$B$14:$BF$1596,10+9,FALSE),"-")="ADELANTE","67N-1",IF(IFERROR(VLOOKUP($B17,TABLA1!$B$14:$BF$1596,10+9,FALSE),"-")="BIDIECCIONAL","51N","-"))</f>
        <v>67N-1</v>
      </c>
      <c r="H20" s="12"/>
      <c r="I20" s="12">
        <f>IFERROR(VLOOKUP($B17,TABLA1!$B$14:$BF$1596,40,FALSE),"-")</f>
        <v>120</v>
      </c>
      <c r="J20" s="18">
        <f>IFERROR(VLOOKUP($B17,TABLA1!$B$14:$BF$1596,39,FALSE),"-")</f>
        <v>0.3</v>
      </c>
      <c r="K20" s="12" t="str">
        <f>IFERROR(VLOOKUP($B17,TABLA1!$B$14:$BF$1596,41,FALSE),"-")</f>
        <v>IEC NI</v>
      </c>
      <c r="L20" s="18">
        <f>IFERROR(VLOOKUP($B17,TABLA1!$B$14:$BF$1596,42,FALSE),"-")</f>
        <v>0.18</v>
      </c>
      <c r="M20" s="18" t="s">
        <v>61</v>
      </c>
      <c r="N20" s="18" t="s">
        <v>61</v>
      </c>
    </row>
    <row r="21" spans="2:14" x14ac:dyDescent="0.25">
      <c r="C21" s="90"/>
      <c r="D21" s="90"/>
      <c r="E21" s="90"/>
      <c r="F21" s="90"/>
      <c r="G21" s="12" t="str">
        <f>IF(IFERROR(VLOOKUP($B17,TABLA1!$B$14:$BF$1596,10+12,FALSE),"-")="ADELANTE","67N-2",IF(IFERROR(VLOOKUP($B17,TABLA1!$B$14:$BF$1596,10+12,FALSE),"-")="BIDIECCIONAL","50N/1","-"))</f>
        <v>-</v>
      </c>
      <c r="H21" s="12"/>
      <c r="I21" s="12" t="str">
        <f>IFERROR(VLOOKUP($B17,TABLA1!$B$14:$BF$1596,44,FALSE),"-")</f>
        <v>-</v>
      </c>
      <c r="J21" s="18" t="str">
        <f>IFERROR(VLOOKUP($B17,TABLA1!$B$14:$BF$1596,43,FALSE),"-")</f>
        <v>-</v>
      </c>
      <c r="K21" s="12" t="str">
        <f>IFERROR(VLOOKUP($B17,TABLA1!$B$14:$BF$1596,45,FALSE),"-")</f>
        <v>TD</v>
      </c>
      <c r="L21" s="18" t="str">
        <f>IFERROR(VLOOKUP($B17,TABLA1!$B$14:$BF$1596,46,FALSE),"-")</f>
        <v>-</v>
      </c>
      <c r="M21" s="18" t="s">
        <v>61</v>
      </c>
      <c r="N21" s="18" t="s">
        <v>61</v>
      </c>
    </row>
    <row r="22" spans="2:14" x14ac:dyDescent="0.25">
      <c r="C22" s="91"/>
      <c r="D22" s="91"/>
      <c r="E22" s="91"/>
      <c r="F22" s="91"/>
      <c r="G22" s="12" t="str">
        <f>IF(IFERROR(VLOOKUP($B17,TABLA1!$B$14:$BF$1596,10+15,FALSE),"-")="ADELANTE","67N-3",IF(IFERROR(VLOOKUP($B17,TABLA1!$B$14:$BF$1596,10+15,FALSE),"-")="BIDIECCIONAL","50N-2","-"))</f>
        <v>-</v>
      </c>
      <c r="H22" s="12"/>
      <c r="I22" s="12" t="str">
        <f>IFERROR(VLOOKUP($B17,TABLA1!$B$14:$BF$1596,48,FALSE),"-")</f>
        <v>-</v>
      </c>
      <c r="J22" s="18" t="str">
        <f>IFERROR(VLOOKUP($B17,TABLA1!$B$14:$BF$1596,47,FALSE),"-")</f>
        <v>-</v>
      </c>
      <c r="K22" s="12" t="str">
        <f>IFERROR(VLOOKUP($B17,TABLA1!$B$14:$BF$1596,49,FALSE),"-")</f>
        <v>TD</v>
      </c>
      <c r="L22" s="18" t="str">
        <f>IFERROR(VLOOKUP($B17,TABLA1!$B$14:$BF$1596,50,FALSE),"-")</f>
        <v>-</v>
      </c>
      <c r="M22" s="18" t="s">
        <v>61</v>
      </c>
      <c r="N22" s="18" t="s">
        <v>61</v>
      </c>
    </row>
    <row r="23" spans="2:14" x14ac:dyDescent="0.25">
      <c r="B23" s="22" t="str">
        <f>TABLA1!B17</f>
        <v>R2-2</v>
      </c>
      <c r="C23" s="89" t="str">
        <f>VLOOKUP(B23,TABLA1!$B$14:$BF$1596,2,FALSE)</f>
        <v>K2</v>
      </c>
      <c r="D23" s="89">
        <f>VLOOKUP(B23,TABLA1!$B$14:$BF$1596,3,FALSE)</f>
        <v>0</v>
      </c>
      <c r="E23" s="89" t="str">
        <f>VLOOKUP(B23,TABLA1!$B$14:$BF$1596,6,FALSE)&amp;"/"&amp;VLOOKUP(B23,TABLA1!$B$14:$BF$1596,7,FALSE)</f>
        <v>400/5</v>
      </c>
      <c r="F23" s="89">
        <f>VLOOKUP(B23,TABLA1!$B$14:$BF$1596,8,FALSE)</f>
        <v>0</v>
      </c>
      <c r="G23" s="54" t="str">
        <f>IF(IFERROR(VLOOKUP($B23,TABLA1!$B$14:$BF$1596,10,FALSE),"-")="ADELANTE","67-1",IF(IFERROR(VLOOKUP($B23,TABLA1!$B$14:$BF$1596,10,FALSE),"-")="BIDIECCIONAL","51","-"))</f>
        <v>67-1</v>
      </c>
      <c r="H23" s="54">
        <v>900</v>
      </c>
      <c r="I23" s="12">
        <f>IFERROR(VLOOKUP($B23,TABLA1!$B$14:$BF$1596,28,FALSE),"-")</f>
        <v>440.00000000000006</v>
      </c>
      <c r="J23" s="18">
        <f>IFERROR(VLOOKUP($B23,TABLA1!$B$14:$BF$1596,27,FALSE),"-")</f>
        <v>1.1000000000000001</v>
      </c>
      <c r="K23" s="12" t="str">
        <f>IFERROR(VLOOKUP($B23,TABLA1!$B$14:$BF$1596,29,FALSE),"-")</f>
        <v>IEC NI</v>
      </c>
      <c r="L23" s="18">
        <f>IFERROR(VLOOKUP($B23,TABLA1!$B$14:$BF$1596,30,FALSE),"-")</f>
        <v>0.22</v>
      </c>
      <c r="M23" s="18" t="s">
        <v>61</v>
      </c>
      <c r="N23" s="18" t="s">
        <v>61</v>
      </c>
    </row>
    <row r="24" spans="2:14" x14ac:dyDescent="0.25">
      <c r="C24" s="90"/>
      <c r="D24" s="90"/>
      <c r="E24" s="90"/>
      <c r="F24" s="90"/>
      <c r="G24" s="12" t="str">
        <f>IF(IFERROR(VLOOKUP($B23,TABLA1!$B$14:$BF$1596,10+3,FALSE),"-")="ADELANTE","67-2",IF(IFERROR(VLOOKUP($B23,TABLA1!$B$14:$BF$1596,10+3,FALSE),"-")="BIDIECCIONAL","50-1","-"))</f>
        <v>-</v>
      </c>
      <c r="H24" s="12"/>
      <c r="I24" s="12" t="str">
        <f>IFERROR(VLOOKUP($B23,TABLA1!$B$14:$BF$1596,32,FALSE),"-")</f>
        <v>-</v>
      </c>
      <c r="J24" s="18" t="str">
        <f>IFERROR(VLOOKUP($B23,TABLA1!$B$14:$BF$1596,31,FALSE),"-")</f>
        <v>-</v>
      </c>
      <c r="K24" s="12" t="str">
        <f>IFERROR(VLOOKUP($B23,TABLA1!$B$14:$BF$1596,33,FALSE),"-")</f>
        <v>TD</v>
      </c>
      <c r="L24" s="18" t="str">
        <f>IFERROR(VLOOKUP($B23,TABLA1!$B$14:$BF$1596,34,FALSE),"-")</f>
        <v>-</v>
      </c>
      <c r="M24" s="18" t="s">
        <v>61</v>
      </c>
      <c r="N24" s="18" t="s">
        <v>61</v>
      </c>
    </row>
    <row r="25" spans="2:14" x14ac:dyDescent="0.25">
      <c r="C25" s="90"/>
      <c r="D25" s="90"/>
      <c r="E25" s="90"/>
      <c r="F25" s="90"/>
      <c r="G25" s="12" t="str">
        <f>IF(IFERROR(VLOOKUP($B23,TABLA1!$B$14:$BF$1596,10+6,FALSE),"-")="ADELANTE","67-3",IF(IFERROR(VLOOKUP($B23,TABLA1!$B$14:$BF$1596,10+6,FALSE),"-")="BIDIECCIONAL","50-2","-"))</f>
        <v>-</v>
      </c>
      <c r="H25" s="12"/>
      <c r="I25" s="12" t="str">
        <f>IFERROR(VLOOKUP($B23,TABLA1!$B$14:$BF$1596,36,FALSE),"-")</f>
        <v>-</v>
      </c>
      <c r="J25" s="18" t="str">
        <f>IFERROR(VLOOKUP($B23,TABLA1!$B$14:$BF$1596,35,FALSE),"-")</f>
        <v>-</v>
      </c>
      <c r="K25" s="12" t="str">
        <f>IFERROR(VLOOKUP($B23,TABLA1!$B$14:$BF$1596,37,FALSE),"-")</f>
        <v>TD</v>
      </c>
      <c r="L25" s="18" t="str">
        <f>IFERROR(VLOOKUP($B23,TABLA1!$B$14:$BF$1596,38,FALSE),"-")</f>
        <v>-</v>
      </c>
      <c r="M25" s="18" t="s">
        <v>61</v>
      </c>
      <c r="N25" s="18" t="s">
        <v>61</v>
      </c>
    </row>
    <row r="26" spans="2:14" x14ac:dyDescent="0.25">
      <c r="C26" s="90"/>
      <c r="D26" s="90"/>
      <c r="E26" s="90"/>
      <c r="F26" s="90"/>
      <c r="G26" s="12" t="str">
        <f>IF(IFERROR(VLOOKUP($B23,TABLA1!$B$14:$BF$1596,10+9,FALSE),"-")="ADELANTE","67N-1",IF(IFERROR(VLOOKUP($B23,TABLA1!$B$14:$BF$1596,10+9,FALSE),"-")="BIDIECCIONAL","51N","-"))</f>
        <v>67N-1</v>
      </c>
      <c r="H26" s="12"/>
      <c r="I26" s="12">
        <f>IFERROR(VLOOKUP($B23,TABLA1!$B$14:$BF$1596,40,FALSE),"-")</f>
        <v>120</v>
      </c>
      <c r="J26" s="18">
        <f>IFERROR(VLOOKUP($B23,TABLA1!$B$14:$BF$1596,39,FALSE),"-")</f>
        <v>0.3</v>
      </c>
      <c r="K26" s="12" t="str">
        <f>IFERROR(VLOOKUP($B23,TABLA1!$B$14:$BF$1596,41,FALSE),"-")</f>
        <v>IEC NI</v>
      </c>
      <c r="L26" s="18">
        <f>IFERROR(VLOOKUP($B23,TABLA1!$B$14:$BF$1596,42,FALSE),"-")</f>
        <v>0.22</v>
      </c>
      <c r="M26" s="18" t="s">
        <v>61</v>
      </c>
      <c r="N26" s="18" t="s">
        <v>61</v>
      </c>
    </row>
    <row r="27" spans="2:14" x14ac:dyDescent="0.25">
      <c r="C27" s="90"/>
      <c r="D27" s="90"/>
      <c r="E27" s="90"/>
      <c r="F27" s="90"/>
      <c r="G27" s="12" t="str">
        <f>IF(IFERROR(VLOOKUP($B23,TABLA1!$B$14:$BF$1596,10+12,FALSE),"-")="ADELANTE","67N-2",IF(IFERROR(VLOOKUP($B23,TABLA1!$B$14:$BF$1596,10+12,FALSE),"-")="BIDIECCIONAL","50N/1","-"))</f>
        <v>-</v>
      </c>
      <c r="H27" s="12"/>
      <c r="I27" s="12" t="str">
        <f>IFERROR(VLOOKUP($B23,TABLA1!$B$14:$BF$1596,44,FALSE),"-")</f>
        <v>-</v>
      </c>
      <c r="J27" s="18" t="str">
        <f>IFERROR(VLOOKUP($B23,TABLA1!$B$14:$BF$1596,43,FALSE),"-")</f>
        <v>-</v>
      </c>
      <c r="K27" s="12" t="str">
        <f>IFERROR(VLOOKUP($B23,TABLA1!$B$14:$BF$1596,45,FALSE),"-")</f>
        <v>TD</v>
      </c>
      <c r="L27" s="18" t="str">
        <f>IFERROR(VLOOKUP($B23,TABLA1!$B$14:$BF$1596,46,FALSE),"-")</f>
        <v>-</v>
      </c>
      <c r="M27" s="18" t="s">
        <v>61</v>
      </c>
      <c r="N27" s="18" t="s">
        <v>61</v>
      </c>
    </row>
    <row r="28" spans="2:14" x14ac:dyDescent="0.25">
      <c r="C28" s="91"/>
      <c r="D28" s="91"/>
      <c r="E28" s="91"/>
      <c r="F28" s="91"/>
      <c r="G28" s="12" t="str">
        <f>IF(IFERROR(VLOOKUP($B23,TABLA1!$B$14:$BF$1596,10+15,FALSE),"-")="ADELANTE","67N-3",IF(IFERROR(VLOOKUP($B23,TABLA1!$B$14:$BF$1596,10+15,FALSE),"-")="BIDIECCIONAL","50N-2","-"))</f>
        <v>-</v>
      </c>
      <c r="H28" s="12"/>
      <c r="I28" s="12" t="str">
        <f>IFERROR(VLOOKUP($B23,TABLA1!$B$14:$BF$1596,48,FALSE),"-")</f>
        <v>-</v>
      </c>
      <c r="J28" s="18" t="str">
        <f>IFERROR(VLOOKUP($B23,TABLA1!$B$14:$BF$1596,47,FALSE),"-")</f>
        <v>-</v>
      </c>
      <c r="K28" s="12" t="str">
        <f>IFERROR(VLOOKUP($B23,TABLA1!$B$14:$BF$1596,49,FALSE),"-")</f>
        <v>TD</v>
      </c>
      <c r="L28" s="18" t="str">
        <f>IFERROR(VLOOKUP($B23,TABLA1!$B$14:$BF$1596,50,FALSE),"-")</f>
        <v>-</v>
      </c>
      <c r="M28" s="18" t="s">
        <v>61</v>
      </c>
      <c r="N28" s="18" t="s">
        <v>61</v>
      </c>
    </row>
    <row r="29" spans="2:14" x14ac:dyDescent="0.25">
      <c r="B29" s="22" t="str">
        <f>TABLA1!B18</f>
        <v>R3-2</v>
      </c>
      <c r="C29" s="89" t="str">
        <f>VLOOKUP(B29,TABLA1!$B$14:$BF$1596,2,FALSE)</f>
        <v>K3-2</v>
      </c>
      <c r="D29" s="89">
        <f>VLOOKUP(B29,TABLA1!$B$14:$BF$1596,3,FALSE)</f>
        <v>0</v>
      </c>
      <c r="E29" s="89" t="str">
        <f>VLOOKUP(B29,TABLA1!$B$14:$BF$1596,6,FALSE)&amp;"/"&amp;VLOOKUP(B29,TABLA1!$B$14:$BF$1596,7,FALSE)</f>
        <v>400/5</v>
      </c>
      <c r="F29" s="89">
        <f>VLOOKUP(B29,TABLA1!$B$14:$BF$1596,8,FALSE)</f>
        <v>0</v>
      </c>
      <c r="G29" s="54" t="str">
        <f>IF(IFERROR(VLOOKUP($B29,TABLA1!$B$14:$BF$1596,10,FALSE),"-")="ADELANTE","67-1",IF(IFERROR(VLOOKUP($B29,TABLA1!$B$14:$BF$1596,10,FALSE),"-")="BIDIECCIONAL","51","-"))</f>
        <v>51</v>
      </c>
      <c r="H29" s="54">
        <v>900</v>
      </c>
      <c r="I29" s="12">
        <f>IFERROR(VLOOKUP($B29,TABLA1!$B$14:$BF$1596,28,FALSE),"-")</f>
        <v>440.00000000000006</v>
      </c>
      <c r="J29" s="18">
        <f>IFERROR(VLOOKUP($B29,TABLA1!$B$14:$BF$1596,27,FALSE),"-")</f>
        <v>1.1000000000000001</v>
      </c>
      <c r="K29" s="12" t="str">
        <f>IFERROR(VLOOKUP($B29,TABLA1!$B$14:$BF$1596,29,FALSE),"-")</f>
        <v>IEC NI</v>
      </c>
      <c r="L29" s="18">
        <f>IFERROR(VLOOKUP($B29,TABLA1!$B$14:$BF$1596,30,FALSE),"-")</f>
        <v>0.18</v>
      </c>
      <c r="M29" s="23" t="s">
        <v>63</v>
      </c>
      <c r="N29" s="23" t="s">
        <v>64</v>
      </c>
    </row>
    <row r="30" spans="2:14" x14ac:dyDescent="0.25">
      <c r="C30" s="90"/>
      <c r="D30" s="90"/>
      <c r="E30" s="90"/>
      <c r="F30" s="90"/>
      <c r="G30" s="12" t="str">
        <f>IF(IFERROR(VLOOKUP($B29,TABLA1!$B$14:$BF$1596,10+3,FALSE),"-")="ADELANTE","67-2",IF(IFERROR(VLOOKUP($B29,TABLA1!$B$14:$BF$1596,10+3,FALSE),"-")="BIDIECCIONAL","50-1","-"))</f>
        <v>50-1</v>
      </c>
      <c r="H30" s="12"/>
      <c r="I30" s="12">
        <f>IFERROR(VLOOKUP($B29,TABLA1!$B$14:$BF$1596,32,FALSE),"-")</f>
        <v>1200</v>
      </c>
      <c r="J30" s="18">
        <f>IFERROR(VLOOKUP($B29,TABLA1!$B$14:$BF$1596,31,FALSE),"-")</f>
        <v>3</v>
      </c>
      <c r="K30" s="12" t="str">
        <f>IFERROR(VLOOKUP($B29,TABLA1!$B$14:$BF$1596,33,FALSE),"-")</f>
        <v>TD</v>
      </c>
      <c r="L30" s="18">
        <f>IFERROR(VLOOKUP($B29,TABLA1!$B$14:$BF$1596,34,FALSE),"-")</f>
        <v>0.09</v>
      </c>
      <c r="M30" s="23" t="s">
        <v>63</v>
      </c>
      <c r="N30" s="23" t="s">
        <v>64</v>
      </c>
    </row>
    <row r="31" spans="2:14" x14ac:dyDescent="0.25">
      <c r="C31" s="90"/>
      <c r="D31" s="90"/>
      <c r="E31" s="90"/>
      <c r="F31" s="90"/>
      <c r="G31" s="12" t="str">
        <f>IF(IFERROR(VLOOKUP($B29,TABLA1!$B$14:$BF$1596,10+6,FALSE),"-")="ADELANTE","67-3",IF(IFERROR(VLOOKUP($B29,TABLA1!$B$14:$BF$1596,10+6,FALSE),"-")="BIDIECCIONAL","50-2","-"))</f>
        <v>-</v>
      </c>
      <c r="H31" s="12"/>
      <c r="I31" s="12" t="str">
        <f>IFERROR(VLOOKUP($B29,TABLA1!$B$14:$BF$1596,36,FALSE),"-")</f>
        <v>-</v>
      </c>
      <c r="J31" s="18" t="str">
        <f>IFERROR(VLOOKUP($B29,TABLA1!$B$14:$BF$1596,35,FALSE),"-")</f>
        <v>-</v>
      </c>
      <c r="K31" s="12" t="str">
        <f>IFERROR(VLOOKUP($B29,TABLA1!$B$14:$BF$1596,37,FALSE),"-")</f>
        <v>TD</v>
      </c>
      <c r="L31" s="18" t="str">
        <f>IFERROR(VLOOKUP($B29,TABLA1!$B$14:$BF$1596,38,FALSE),"-")</f>
        <v>-</v>
      </c>
      <c r="M31" s="23" t="s">
        <v>63</v>
      </c>
      <c r="N31" s="23" t="s">
        <v>64</v>
      </c>
    </row>
    <row r="32" spans="2:14" x14ac:dyDescent="0.25">
      <c r="C32" s="90"/>
      <c r="D32" s="90"/>
      <c r="E32" s="90"/>
      <c r="F32" s="90"/>
      <c r="G32" s="12" t="str">
        <f>IF(IFERROR(VLOOKUP($B29,TABLA1!$B$14:$BF$1596,10+9,FALSE),"-")="ADELANTE","67N-1",IF(IFERROR(VLOOKUP($B29,TABLA1!$B$14:$BF$1596,10+9,FALSE),"-")="BIDIECCIONAL","51N","-"))</f>
        <v>51N</v>
      </c>
      <c r="H32" s="12"/>
      <c r="I32" s="12">
        <f>IFERROR(VLOOKUP($B29,TABLA1!$B$14:$BF$1596,40,FALSE),"-")</f>
        <v>120</v>
      </c>
      <c r="J32" s="18">
        <f>IFERROR(VLOOKUP($B29,TABLA1!$B$14:$BF$1596,39,FALSE),"-")</f>
        <v>0.3</v>
      </c>
      <c r="K32" s="12" t="str">
        <f>IFERROR(VLOOKUP($B29,TABLA1!$B$14:$BF$1596,41,FALSE),"-")</f>
        <v>IEC NI</v>
      </c>
      <c r="L32" s="18">
        <f>IFERROR(VLOOKUP($B29,TABLA1!$B$14:$BF$1596,42,FALSE),"-")</f>
        <v>0.18</v>
      </c>
      <c r="M32" s="23" t="s">
        <v>63</v>
      </c>
      <c r="N32" s="23" t="s">
        <v>64</v>
      </c>
    </row>
    <row r="33" spans="2:14" x14ac:dyDescent="0.25">
      <c r="C33" s="90"/>
      <c r="D33" s="90"/>
      <c r="E33" s="90"/>
      <c r="F33" s="90"/>
      <c r="G33" s="12" t="str">
        <f>IF(IFERROR(VLOOKUP($B29,TABLA1!$B$14:$BF$1596,10+12,FALSE),"-")="ADELANTE","67N-2",IF(IFERROR(VLOOKUP($B29,TABLA1!$B$14:$BF$1596,10+12,FALSE),"-")="BIDIECCIONAL","50N/1","-"))</f>
        <v>50N/1</v>
      </c>
      <c r="H33" s="12"/>
      <c r="I33" s="12">
        <f>IFERROR(VLOOKUP($B29,TABLA1!$B$14:$BF$1596,44,FALSE),"-")</f>
        <v>320</v>
      </c>
      <c r="J33" s="18">
        <f>IFERROR(VLOOKUP($B29,TABLA1!$B$14:$BF$1596,43,FALSE),"-")</f>
        <v>0.8</v>
      </c>
      <c r="K33" s="12" t="str">
        <f>IFERROR(VLOOKUP($B29,TABLA1!$B$14:$BF$1596,45,FALSE),"-")</f>
        <v>TD</v>
      </c>
      <c r="L33" s="18">
        <f>IFERROR(VLOOKUP($B29,TABLA1!$B$14:$BF$1596,46,FALSE),"-")</f>
        <v>0.09</v>
      </c>
      <c r="M33" s="23" t="s">
        <v>63</v>
      </c>
      <c r="N33" s="23" t="s">
        <v>64</v>
      </c>
    </row>
    <row r="34" spans="2:14" x14ac:dyDescent="0.25">
      <c r="C34" s="91"/>
      <c r="D34" s="91"/>
      <c r="E34" s="91"/>
      <c r="F34" s="91"/>
      <c r="G34" s="12" t="str">
        <f>IF(IFERROR(VLOOKUP($B29,TABLA1!$B$14:$BF$1596,10+15,FALSE),"-")="ADELANTE","67N-3",IF(IFERROR(VLOOKUP($B29,TABLA1!$B$14:$BF$1596,10+15,FALSE),"-")="BIDIECCIONAL","50N-2","-"))</f>
        <v>-</v>
      </c>
      <c r="H34" s="12"/>
      <c r="I34" s="12" t="str">
        <f>IFERROR(VLOOKUP($B29,TABLA1!$B$14:$BF$1596,48,FALSE),"-")</f>
        <v>-</v>
      </c>
      <c r="J34" s="18" t="str">
        <f>IFERROR(VLOOKUP($B29,TABLA1!$B$14:$BF$1596,47,FALSE),"-")</f>
        <v>-</v>
      </c>
      <c r="K34" s="12" t="str">
        <f>IFERROR(VLOOKUP($B29,TABLA1!$B$14:$BF$1596,49,FALSE),"-")</f>
        <v>TD</v>
      </c>
      <c r="L34" s="18" t="str">
        <f>IFERROR(VLOOKUP($B29,TABLA1!$B$14:$BF$1596,50,FALSE),"-")</f>
        <v>-</v>
      </c>
      <c r="M34" s="23" t="s">
        <v>63</v>
      </c>
      <c r="N34" s="23" t="s">
        <v>64</v>
      </c>
    </row>
    <row r="35" spans="2:14" x14ac:dyDescent="0.25">
      <c r="B35" s="22">
        <f>TABLA1!B19</f>
        <v>0</v>
      </c>
      <c r="C35" s="89" t="e">
        <f>VLOOKUP(B35,TABLA1!$B$14:$BF$1596,2,FALSE)</f>
        <v>#N/A</v>
      </c>
      <c r="D35" s="89" t="e">
        <f>VLOOKUP(B35,TABLA1!$B$14:$BF$1596,3,FALSE)</f>
        <v>#N/A</v>
      </c>
      <c r="E35" s="89" t="e">
        <f>VLOOKUP(B35,TABLA1!$B$14:$BF$1596,6,FALSE)&amp;"/"&amp;VLOOKUP(B35,TABLA1!$B$14:$BF$1596,7,FALSE)</f>
        <v>#N/A</v>
      </c>
      <c r="F35" s="89" t="e">
        <f>VLOOKUP(B35,TABLA1!$B$14:$BF$1596,8,FALSE)</f>
        <v>#N/A</v>
      </c>
      <c r="G35" s="54" t="str">
        <f>IF(IFERROR(VLOOKUP($B35,TABLA1!$B$14:$BF$1596,10,FALSE),"-")="ADELANTE","67-1",IF(IFERROR(VLOOKUP($B35,TABLA1!$B$14:$BF$1596,10,FALSE),"-")="BIDIECCIONAL","51","-"))</f>
        <v>-</v>
      </c>
      <c r="H35" s="54">
        <v>900</v>
      </c>
      <c r="I35" s="12" t="str">
        <f>IFERROR(VLOOKUP($B35,TABLA1!$B$14:$BF$1596,28,FALSE),"-")</f>
        <v>-</v>
      </c>
      <c r="J35" s="18" t="str">
        <f>IFERROR(VLOOKUP($B35,TABLA1!$B$14:$BF$1596,27,FALSE),"-")</f>
        <v>-</v>
      </c>
      <c r="K35" s="12" t="str">
        <f>IFERROR(VLOOKUP($B35,TABLA1!$B$14:$BF$1596,29,FALSE),"-")</f>
        <v>-</v>
      </c>
      <c r="L35" s="18" t="str">
        <f>IFERROR(VLOOKUP($B35,TABLA1!$B$14:$BF$1596,30,FALSE),"-")</f>
        <v>-</v>
      </c>
      <c r="M35" s="23" t="s">
        <v>63</v>
      </c>
      <c r="N35" s="23" t="s">
        <v>64</v>
      </c>
    </row>
    <row r="36" spans="2:14" x14ac:dyDescent="0.25">
      <c r="C36" s="90"/>
      <c r="D36" s="90"/>
      <c r="E36" s="90"/>
      <c r="F36" s="90"/>
      <c r="G36" s="12" t="str">
        <f>IF(IFERROR(VLOOKUP($B35,TABLA1!$B$14:$BF$1596,10+3,FALSE),"-")="ADELANTE","67-2",IF(IFERROR(VLOOKUP($B35,TABLA1!$B$14:$BF$1596,10+3,FALSE),"-")="BIDIECCIONAL","50-1","-"))</f>
        <v>-</v>
      </c>
      <c r="H36" s="12"/>
      <c r="I36" s="12" t="str">
        <f>IFERROR(VLOOKUP($B35,TABLA1!$B$14:$BF$1596,32,FALSE),"-")</f>
        <v>-</v>
      </c>
      <c r="J36" s="18" t="str">
        <f>IFERROR(VLOOKUP($B35,TABLA1!$B$14:$BF$1596,31,FALSE),"-")</f>
        <v>-</v>
      </c>
      <c r="K36" s="12" t="str">
        <f>IFERROR(VLOOKUP($B35,TABLA1!$B$14:$BF$1596,33,FALSE),"-")</f>
        <v>-</v>
      </c>
      <c r="L36" s="18" t="str">
        <f>IFERROR(VLOOKUP($B35,TABLA1!$B$14:$BF$1596,34,FALSE),"-")</f>
        <v>-</v>
      </c>
      <c r="M36" s="23" t="s">
        <v>63</v>
      </c>
      <c r="N36" s="23" t="s">
        <v>64</v>
      </c>
    </row>
    <row r="37" spans="2:14" x14ac:dyDescent="0.25">
      <c r="C37" s="90"/>
      <c r="D37" s="90"/>
      <c r="E37" s="90"/>
      <c r="F37" s="90"/>
      <c r="G37" s="12" t="str">
        <f>IF(IFERROR(VLOOKUP($B35,TABLA1!$B$14:$BF$1596,10+6,FALSE),"-")="ADELANTE","67-3",IF(IFERROR(VLOOKUP($B35,TABLA1!$B$14:$BF$1596,10+6,FALSE),"-")="BIDIECCIONAL","50-2","-"))</f>
        <v>-</v>
      </c>
      <c r="H37" s="12"/>
      <c r="I37" s="12" t="str">
        <f>IFERROR(VLOOKUP($B35,TABLA1!$B$14:$BF$1596,36,FALSE),"-")</f>
        <v>-</v>
      </c>
      <c r="J37" s="18" t="str">
        <f>IFERROR(VLOOKUP($B35,TABLA1!$B$14:$BF$1596,35,FALSE),"-")</f>
        <v>-</v>
      </c>
      <c r="K37" s="12" t="str">
        <f>IFERROR(VLOOKUP($B35,TABLA1!$B$14:$BF$1596,37,FALSE),"-")</f>
        <v>-</v>
      </c>
      <c r="L37" s="18" t="str">
        <f>IFERROR(VLOOKUP($B35,TABLA1!$B$14:$BF$1596,38,FALSE),"-")</f>
        <v>-</v>
      </c>
      <c r="M37" s="23" t="s">
        <v>63</v>
      </c>
      <c r="N37" s="23" t="s">
        <v>64</v>
      </c>
    </row>
    <row r="38" spans="2:14" x14ac:dyDescent="0.25">
      <c r="C38" s="90"/>
      <c r="D38" s="90"/>
      <c r="E38" s="90"/>
      <c r="F38" s="90"/>
      <c r="G38" s="12" t="str">
        <f>IF(IFERROR(VLOOKUP($B35,TABLA1!$B$14:$BF$1596,10+9,FALSE),"-")="ADELANTE","67N-1",IF(IFERROR(VLOOKUP($B35,TABLA1!$B$14:$BF$1596,10+9,FALSE),"-")="BIDIECCIONAL","51N","-"))</f>
        <v>-</v>
      </c>
      <c r="H38" s="12"/>
      <c r="I38" s="12" t="str">
        <f>IFERROR(VLOOKUP($B35,TABLA1!$B$14:$BF$1596,40,FALSE),"-")</f>
        <v>-</v>
      </c>
      <c r="J38" s="18" t="str">
        <f>IFERROR(VLOOKUP($B35,TABLA1!$B$14:$BF$1596,39,FALSE),"-")</f>
        <v>-</v>
      </c>
      <c r="K38" s="12" t="str">
        <f>IFERROR(VLOOKUP($B35,TABLA1!$B$14:$BF$1596,41,FALSE),"-")</f>
        <v>-</v>
      </c>
      <c r="L38" s="18" t="str">
        <f>IFERROR(VLOOKUP($B35,TABLA1!$B$14:$BF$1596,42,FALSE),"-")</f>
        <v>-</v>
      </c>
      <c r="M38" s="23" t="s">
        <v>63</v>
      </c>
      <c r="N38" s="23" t="s">
        <v>64</v>
      </c>
    </row>
    <row r="39" spans="2:14" x14ac:dyDescent="0.25">
      <c r="C39" s="90"/>
      <c r="D39" s="90"/>
      <c r="E39" s="90"/>
      <c r="F39" s="90"/>
      <c r="G39" s="12" t="str">
        <f>IF(IFERROR(VLOOKUP($B35,TABLA1!$B$14:$BF$1596,10+12,FALSE),"-")="ADELANTE","67N-2",IF(IFERROR(VLOOKUP($B35,TABLA1!$B$14:$BF$1596,10+12,FALSE),"-")="BIDIECCIONAL","50N/1","-"))</f>
        <v>-</v>
      </c>
      <c r="H39" s="12"/>
      <c r="I39" s="12" t="str">
        <f>IFERROR(VLOOKUP($B35,TABLA1!$B$14:$BF$1596,44,FALSE),"-")</f>
        <v>-</v>
      </c>
      <c r="J39" s="18" t="str">
        <f>IFERROR(VLOOKUP($B35,TABLA1!$B$14:$BF$1596,43,FALSE),"-")</f>
        <v>-</v>
      </c>
      <c r="K39" s="12" t="str">
        <f>IFERROR(VLOOKUP($B35,TABLA1!$B$14:$BF$1596,45,FALSE),"-")</f>
        <v>-</v>
      </c>
      <c r="L39" s="18" t="str">
        <f>IFERROR(VLOOKUP($B35,TABLA1!$B$14:$BF$1596,46,FALSE),"-")</f>
        <v>-</v>
      </c>
      <c r="M39" s="23" t="s">
        <v>63</v>
      </c>
      <c r="N39" s="23" t="s">
        <v>64</v>
      </c>
    </row>
    <row r="40" spans="2:14" x14ac:dyDescent="0.25">
      <c r="C40" s="91"/>
      <c r="D40" s="91"/>
      <c r="E40" s="91"/>
      <c r="F40" s="91"/>
      <c r="G40" s="12" t="str">
        <f>IF(IFERROR(VLOOKUP($B35,TABLA1!$B$14:$BF$1596,10+15,FALSE),"-")="ADELANTE","67N-3",IF(IFERROR(VLOOKUP($B35,TABLA1!$B$14:$BF$1596,10+15,FALSE),"-")="BIDIECCIONAL","50N-2","-"))</f>
        <v>-</v>
      </c>
      <c r="H40" s="12"/>
      <c r="I40" s="12" t="str">
        <f>IFERROR(VLOOKUP($B35,TABLA1!$B$14:$BF$1596,48,FALSE),"-")</f>
        <v>-</v>
      </c>
      <c r="J40" s="18" t="str">
        <f>IFERROR(VLOOKUP($B35,TABLA1!$B$14:$BF$1596,47,FALSE),"-")</f>
        <v>-</v>
      </c>
      <c r="K40" s="12" t="str">
        <f>IFERROR(VLOOKUP($B35,TABLA1!$B$14:$BF$1596,49,FALSE),"-")</f>
        <v>-</v>
      </c>
      <c r="L40" s="18" t="str">
        <f>IFERROR(VLOOKUP($B35,TABLA1!$B$14:$BF$1596,50,FALSE),"-")</f>
        <v>-</v>
      </c>
      <c r="M40" s="23" t="s">
        <v>63</v>
      </c>
      <c r="N40" s="23" t="s">
        <v>64</v>
      </c>
    </row>
    <row r="41" spans="2:14" x14ac:dyDescent="0.25">
      <c r="B41" s="22">
        <f>TABLA1!B20</f>
        <v>0</v>
      </c>
      <c r="C41" s="89" t="e">
        <f>VLOOKUP(B41,TABLA1!$B$14:$BF$1596,2,FALSE)</f>
        <v>#N/A</v>
      </c>
      <c r="D41" s="89" t="e">
        <f>VLOOKUP(B41,TABLA1!$B$14:$BF$1596,3,FALSE)</f>
        <v>#N/A</v>
      </c>
      <c r="E41" s="89" t="e">
        <f>VLOOKUP(B41,TABLA1!$B$14:$BF$1596,6,FALSE)&amp;"/"&amp;VLOOKUP(B41,TABLA1!$B$14:$BF$1596,7,FALSE)</f>
        <v>#N/A</v>
      </c>
      <c r="F41" s="89" t="e">
        <f>VLOOKUP(B41,TABLA1!$B$14:$BF$1596,8,FALSE)</f>
        <v>#N/A</v>
      </c>
      <c r="G41" s="54" t="str">
        <f>IF(IFERROR(VLOOKUP($B41,TABLA1!$B$14:$BF$1596,10,FALSE),"-")="ADELANTE","67-1",IF(IFERROR(VLOOKUP($B41,TABLA1!$B$14:$BF$1596,10,FALSE),"-")="BIDIECCIONAL","51","-"))</f>
        <v>-</v>
      </c>
      <c r="H41" s="54">
        <v>900</v>
      </c>
      <c r="I41" s="12" t="str">
        <f>IFERROR(VLOOKUP($B41,TABLA1!$B$14:$BF$1596,28,FALSE),"-")</f>
        <v>-</v>
      </c>
      <c r="J41" s="18" t="str">
        <f>IFERROR(VLOOKUP($B41,TABLA1!$B$14:$BF$1596,27,FALSE),"-")</f>
        <v>-</v>
      </c>
      <c r="K41" s="12" t="str">
        <f>IFERROR(VLOOKUP($B41,TABLA1!$B$14:$BF$1596,29,FALSE),"-")</f>
        <v>-</v>
      </c>
      <c r="L41" s="18" t="str">
        <f>IFERROR(VLOOKUP($B41,TABLA1!$B$14:$BF$1596,30,FALSE),"-")</f>
        <v>-</v>
      </c>
      <c r="M41" s="23" t="s">
        <v>63</v>
      </c>
      <c r="N41" s="23" t="s">
        <v>64</v>
      </c>
    </row>
    <row r="42" spans="2:14" x14ac:dyDescent="0.25">
      <c r="C42" s="90"/>
      <c r="D42" s="90"/>
      <c r="E42" s="90"/>
      <c r="F42" s="90"/>
      <c r="G42" s="12" t="str">
        <f>IF(IFERROR(VLOOKUP($B41,TABLA1!$B$14:$BF$1596,10+3,FALSE),"-")="ADELANTE","67-2",IF(IFERROR(VLOOKUP($B41,TABLA1!$B$14:$BF$1596,10+3,FALSE),"-")="BIDIECCIONAL","50-1","-"))</f>
        <v>-</v>
      </c>
      <c r="H42" s="12"/>
      <c r="I42" s="12" t="str">
        <f>IFERROR(VLOOKUP($B41,TABLA1!$B$14:$BF$1596,32,FALSE),"-")</f>
        <v>-</v>
      </c>
      <c r="J42" s="18" t="str">
        <f>IFERROR(VLOOKUP($B41,TABLA1!$B$14:$BF$1596,31,FALSE),"-")</f>
        <v>-</v>
      </c>
      <c r="K42" s="12" t="str">
        <f>IFERROR(VLOOKUP($B41,TABLA1!$B$14:$BF$1596,33,FALSE),"-")</f>
        <v>-</v>
      </c>
      <c r="L42" s="18" t="str">
        <f>IFERROR(VLOOKUP($B41,TABLA1!$B$14:$BF$1596,34,FALSE),"-")</f>
        <v>-</v>
      </c>
      <c r="M42" s="23" t="s">
        <v>63</v>
      </c>
      <c r="N42" s="23" t="s">
        <v>64</v>
      </c>
    </row>
    <row r="43" spans="2:14" x14ac:dyDescent="0.25">
      <c r="C43" s="90"/>
      <c r="D43" s="90"/>
      <c r="E43" s="90"/>
      <c r="F43" s="90"/>
      <c r="G43" s="12" t="str">
        <f>IF(IFERROR(VLOOKUP($B41,TABLA1!$B$14:$BF$1596,10+6,FALSE),"-")="ADELANTE","67-3",IF(IFERROR(VLOOKUP($B41,TABLA1!$B$14:$BF$1596,10+6,FALSE),"-")="BIDIECCIONAL","50-2","-"))</f>
        <v>-</v>
      </c>
      <c r="H43" s="12"/>
      <c r="I43" s="12" t="str">
        <f>IFERROR(VLOOKUP($B41,TABLA1!$B$14:$BF$1596,36,FALSE),"-")</f>
        <v>-</v>
      </c>
      <c r="J43" s="18" t="str">
        <f>IFERROR(VLOOKUP($B41,TABLA1!$B$14:$BF$1596,35,FALSE),"-")</f>
        <v>-</v>
      </c>
      <c r="K43" s="12" t="str">
        <f>IFERROR(VLOOKUP($B41,TABLA1!$B$14:$BF$1596,37,FALSE),"-")</f>
        <v>-</v>
      </c>
      <c r="L43" s="18" t="str">
        <f>IFERROR(VLOOKUP($B41,TABLA1!$B$14:$BF$1596,38,FALSE),"-")</f>
        <v>-</v>
      </c>
      <c r="M43" s="23" t="s">
        <v>63</v>
      </c>
      <c r="N43" s="23" t="s">
        <v>64</v>
      </c>
    </row>
    <row r="44" spans="2:14" x14ac:dyDescent="0.25">
      <c r="C44" s="90"/>
      <c r="D44" s="90"/>
      <c r="E44" s="90"/>
      <c r="F44" s="90"/>
      <c r="G44" s="12" t="str">
        <f>IF(IFERROR(VLOOKUP($B41,TABLA1!$B$14:$BF$1596,10+9,FALSE),"-")="ADELANTE","67N-1",IF(IFERROR(VLOOKUP($B41,TABLA1!$B$14:$BF$1596,10+9,FALSE),"-")="BIDIECCIONAL","51N","-"))</f>
        <v>-</v>
      </c>
      <c r="H44" s="12"/>
      <c r="I44" s="12" t="str">
        <f>IFERROR(VLOOKUP($B41,TABLA1!$B$14:$BF$1596,40,FALSE),"-")</f>
        <v>-</v>
      </c>
      <c r="J44" s="18" t="str">
        <f>IFERROR(VLOOKUP($B41,TABLA1!$B$14:$BF$1596,39,FALSE),"-")</f>
        <v>-</v>
      </c>
      <c r="K44" s="12" t="str">
        <f>IFERROR(VLOOKUP($B41,TABLA1!$B$14:$BF$1596,41,FALSE),"-")</f>
        <v>-</v>
      </c>
      <c r="L44" s="18" t="str">
        <f>IFERROR(VLOOKUP($B41,TABLA1!$B$14:$BF$1596,42,FALSE),"-")</f>
        <v>-</v>
      </c>
      <c r="M44" s="23" t="s">
        <v>63</v>
      </c>
      <c r="N44" s="23" t="s">
        <v>64</v>
      </c>
    </row>
    <row r="45" spans="2:14" x14ac:dyDescent="0.25">
      <c r="C45" s="90"/>
      <c r="D45" s="90"/>
      <c r="E45" s="90"/>
      <c r="F45" s="90"/>
      <c r="G45" s="12" t="str">
        <f>IF(IFERROR(VLOOKUP($B41,TABLA1!$B$14:$BF$1596,10+12,FALSE),"-")="ADELANTE","67N-2",IF(IFERROR(VLOOKUP($B41,TABLA1!$B$14:$BF$1596,10+12,FALSE),"-")="BIDIECCIONAL","50N/1","-"))</f>
        <v>-</v>
      </c>
      <c r="H45" s="12"/>
      <c r="I45" s="12" t="str">
        <f>IFERROR(VLOOKUP($B41,TABLA1!$B$14:$BF$1596,44,FALSE),"-")</f>
        <v>-</v>
      </c>
      <c r="J45" s="18" t="str">
        <f>IFERROR(VLOOKUP($B41,TABLA1!$B$14:$BF$1596,43,FALSE),"-")</f>
        <v>-</v>
      </c>
      <c r="K45" s="12" t="str">
        <f>IFERROR(VLOOKUP($B41,TABLA1!$B$14:$BF$1596,45,FALSE),"-")</f>
        <v>-</v>
      </c>
      <c r="L45" s="18" t="str">
        <f>IFERROR(VLOOKUP($B41,TABLA1!$B$14:$BF$1596,46,FALSE),"-")</f>
        <v>-</v>
      </c>
      <c r="M45" s="23" t="s">
        <v>63</v>
      </c>
      <c r="N45" s="23" t="s">
        <v>64</v>
      </c>
    </row>
    <row r="46" spans="2:14" x14ac:dyDescent="0.25">
      <c r="C46" s="91"/>
      <c r="D46" s="91"/>
      <c r="E46" s="91"/>
      <c r="F46" s="91"/>
      <c r="G46" s="12" t="str">
        <f>IF(IFERROR(VLOOKUP($B41,TABLA1!$B$14:$BF$1596,10+15,FALSE),"-")="ADELANTE","67N-3",IF(IFERROR(VLOOKUP($B41,TABLA1!$B$14:$BF$1596,10+15,FALSE),"-")="BIDIECCIONAL","50N-2","-"))</f>
        <v>-</v>
      </c>
      <c r="H46" s="12"/>
      <c r="I46" s="12" t="str">
        <f>IFERROR(VLOOKUP($B41,TABLA1!$B$14:$BF$1596,48,FALSE),"-")</f>
        <v>-</v>
      </c>
      <c r="J46" s="18" t="str">
        <f>IFERROR(VLOOKUP($B41,TABLA1!$B$14:$BF$1596,47,FALSE),"-")</f>
        <v>-</v>
      </c>
      <c r="K46" s="12" t="str">
        <f>IFERROR(VLOOKUP($B41,TABLA1!$B$14:$BF$1596,49,FALSE),"-")</f>
        <v>-</v>
      </c>
      <c r="L46" s="18" t="str">
        <f>IFERROR(VLOOKUP($B41,TABLA1!$B$14:$BF$1596,50,FALSE),"-")</f>
        <v>-</v>
      </c>
      <c r="M46" s="23" t="s">
        <v>63</v>
      </c>
      <c r="N46" s="23" t="s">
        <v>64</v>
      </c>
    </row>
    <row r="47" spans="2:14" x14ac:dyDescent="0.25">
      <c r="B47" s="22">
        <f>TABLA1!B21</f>
        <v>0</v>
      </c>
      <c r="C47" s="89" t="e">
        <f>VLOOKUP(B47,TABLA1!$B$14:$BF$1596,2,FALSE)</f>
        <v>#N/A</v>
      </c>
      <c r="D47" s="89" t="e">
        <f>VLOOKUP(B47,TABLA1!$B$14:$BF$1596,3,FALSE)</f>
        <v>#N/A</v>
      </c>
      <c r="E47" s="89" t="e">
        <f>VLOOKUP(B47,TABLA1!$B$14:$BF$1596,6,FALSE)&amp;"/"&amp;VLOOKUP(B47,TABLA1!$B$14:$BF$1596,7,FALSE)</f>
        <v>#N/A</v>
      </c>
      <c r="F47" s="89" t="e">
        <f>VLOOKUP(B47,TABLA1!$B$14:$BF$1596,8,FALSE)</f>
        <v>#N/A</v>
      </c>
      <c r="G47" s="54" t="str">
        <f>IF(IFERROR(VLOOKUP($B47,TABLA1!$B$14:$BF$1596,10,FALSE),"-")="ADELANTE","67-1",IF(IFERROR(VLOOKUP($B47,TABLA1!$B$14:$BF$1596,10,FALSE),"-")="BIDIECCIONAL","51","-"))</f>
        <v>-</v>
      </c>
      <c r="H47" s="54">
        <v>900</v>
      </c>
      <c r="I47" s="12" t="str">
        <f>IFERROR(VLOOKUP($B47,TABLA1!$B$14:$BF$1596,28,FALSE),"-")</f>
        <v>-</v>
      </c>
      <c r="J47" s="18" t="str">
        <f>IFERROR(VLOOKUP($B47,TABLA1!$B$14:$BF$1596,27,FALSE),"-")</f>
        <v>-</v>
      </c>
      <c r="K47" s="12" t="str">
        <f>IFERROR(VLOOKUP($B47,TABLA1!$B$14:$BF$1596,29,FALSE),"-")</f>
        <v>-</v>
      </c>
      <c r="L47" s="18" t="str">
        <f>IFERROR(VLOOKUP($B47,TABLA1!$B$14:$BF$1596,30,FALSE),"-")</f>
        <v>-</v>
      </c>
      <c r="M47" s="23" t="s">
        <v>63</v>
      </c>
      <c r="N47" s="23" t="s">
        <v>64</v>
      </c>
    </row>
    <row r="48" spans="2:14" x14ac:dyDescent="0.25">
      <c r="C48" s="90"/>
      <c r="D48" s="90"/>
      <c r="E48" s="90"/>
      <c r="F48" s="90"/>
      <c r="G48" s="12" t="str">
        <f>IF(IFERROR(VLOOKUP($B47,TABLA1!$B$14:$BF$1596,10+3,FALSE),"-")="ADELANTE","67-2",IF(IFERROR(VLOOKUP($B47,TABLA1!$B$14:$BF$1596,10+3,FALSE),"-")="BIDIECCIONAL","50-1","-"))</f>
        <v>-</v>
      </c>
      <c r="H48" s="12"/>
      <c r="I48" s="12" t="str">
        <f>IFERROR(VLOOKUP($B47,TABLA1!$B$14:$BF$1596,32,FALSE),"-")</f>
        <v>-</v>
      </c>
      <c r="J48" s="18" t="str">
        <f>IFERROR(VLOOKUP($B47,TABLA1!$B$14:$BF$1596,31,FALSE),"-")</f>
        <v>-</v>
      </c>
      <c r="K48" s="12" t="str">
        <f>IFERROR(VLOOKUP($B47,TABLA1!$B$14:$BF$1596,33,FALSE),"-")</f>
        <v>-</v>
      </c>
      <c r="L48" s="18" t="str">
        <f>IFERROR(VLOOKUP($B47,TABLA1!$B$14:$BF$1596,34,FALSE),"-")</f>
        <v>-</v>
      </c>
      <c r="M48" s="23" t="s">
        <v>63</v>
      </c>
      <c r="N48" s="23" t="s">
        <v>64</v>
      </c>
    </row>
    <row r="49" spans="2:14" x14ac:dyDescent="0.25">
      <c r="C49" s="90"/>
      <c r="D49" s="90"/>
      <c r="E49" s="90"/>
      <c r="F49" s="90"/>
      <c r="G49" s="12" t="str">
        <f>IF(IFERROR(VLOOKUP($B47,TABLA1!$B$14:$BF$1596,10+6,FALSE),"-")="ADELANTE","67-3",IF(IFERROR(VLOOKUP($B47,TABLA1!$B$14:$BF$1596,10+6,FALSE),"-")="BIDIECCIONAL","50-2","-"))</f>
        <v>-</v>
      </c>
      <c r="H49" s="12"/>
      <c r="I49" s="12" t="str">
        <f>IFERROR(VLOOKUP($B47,TABLA1!$B$14:$BF$1596,36,FALSE),"-")</f>
        <v>-</v>
      </c>
      <c r="J49" s="18" t="str">
        <f>IFERROR(VLOOKUP($B47,TABLA1!$B$14:$BF$1596,35,FALSE),"-")</f>
        <v>-</v>
      </c>
      <c r="K49" s="12" t="str">
        <f>IFERROR(VLOOKUP($B47,TABLA1!$B$14:$BF$1596,37,FALSE),"-")</f>
        <v>-</v>
      </c>
      <c r="L49" s="18" t="str">
        <f>IFERROR(VLOOKUP($B47,TABLA1!$B$14:$BF$1596,38,FALSE),"-")</f>
        <v>-</v>
      </c>
      <c r="M49" s="23" t="s">
        <v>63</v>
      </c>
      <c r="N49" s="23" t="s">
        <v>64</v>
      </c>
    </row>
    <row r="50" spans="2:14" x14ac:dyDescent="0.25">
      <c r="C50" s="90"/>
      <c r="D50" s="90"/>
      <c r="E50" s="90"/>
      <c r="F50" s="90"/>
      <c r="G50" s="12" t="str">
        <f>IF(IFERROR(VLOOKUP($B47,TABLA1!$B$14:$BF$1596,10+9,FALSE),"-")="ADELANTE","67N-1",IF(IFERROR(VLOOKUP($B47,TABLA1!$B$14:$BF$1596,10+9,FALSE),"-")="BIDIECCIONAL","51N","-"))</f>
        <v>-</v>
      </c>
      <c r="H50" s="12"/>
      <c r="I50" s="12" t="str">
        <f>IFERROR(VLOOKUP($B47,TABLA1!$B$14:$BF$1596,40,FALSE),"-")</f>
        <v>-</v>
      </c>
      <c r="J50" s="18" t="str">
        <f>IFERROR(VLOOKUP($B47,TABLA1!$B$14:$BF$1596,39,FALSE),"-")</f>
        <v>-</v>
      </c>
      <c r="K50" s="12" t="str">
        <f>IFERROR(VLOOKUP($B47,TABLA1!$B$14:$BF$1596,41,FALSE),"-")</f>
        <v>-</v>
      </c>
      <c r="L50" s="18" t="str">
        <f>IFERROR(VLOOKUP($B47,TABLA1!$B$14:$BF$1596,42,FALSE),"-")</f>
        <v>-</v>
      </c>
      <c r="M50" s="23" t="s">
        <v>63</v>
      </c>
      <c r="N50" s="23" t="s">
        <v>64</v>
      </c>
    </row>
    <row r="51" spans="2:14" x14ac:dyDescent="0.25">
      <c r="C51" s="90"/>
      <c r="D51" s="90"/>
      <c r="E51" s="90"/>
      <c r="F51" s="90"/>
      <c r="G51" s="12" t="str">
        <f>IF(IFERROR(VLOOKUP($B47,TABLA1!$B$14:$BF$1596,10+12,FALSE),"-")="ADELANTE","67N-2",IF(IFERROR(VLOOKUP($B47,TABLA1!$B$14:$BF$1596,10+12,FALSE),"-")="BIDIECCIONAL","50N/1","-"))</f>
        <v>-</v>
      </c>
      <c r="H51" s="12"/>
      <c r="I51" s="12" t="str">
        <f>IFERROR(VLOOKUP($B47,TABLA1!$B$14:$BF$1596,44,FALSE),"-")</f>
        <v>-</v>
      </c>
      <c r="J51" s="18" t="str">
        <f>IFERROR(VLOOKUP($B47,TABLA1!$B$14:$BF$1596,43,FALSE),"-")</f>
        <v>-</v>
      </c>
      <c r="K51" s="12" t="str">
        <f>IFERROR(VLOOKUP($B47,TABLA1!$B$14:$BF$1596,45,FALSE),"-")</f>
        <v>-</v>
      </c>
      <c r="L51" s="18" t="str">
        <f>IFERROR(VLOOKUP($B47,TABLA1!$B$14:$BF$1596,46,FALSE),"-")</f>
        <v>-</v>
      </c>
      <c r="M51" s="23" t="s">
        <v>63</v>
      </c>
      <c r="N51" s="23" t="s">
        <v>64</v>
      </c>
    </row>
    <row r="52" spans="2:14" x14ac:dyDescent="0.25">
      <c r="C52" s="91"/>
      <c r="D52" s="91"/>
      <c r="E52" s="91"/>
      <c r="F52" s="91"/>
      <c r="G52" s="12" t="str">
        <f>IF(IFERROR(VLOOKUP($B47,TABLA1!$B$14:$BF$1596,10+15,FALSE),"-")="ADELANTE","67N-3",IF(IFERROR(VLOOKUP($B47,TABLA1!$B$14:$BF$1596,10+15,FALSE),"-")="BIDIECCIONAL","50N-2","-"))</f>
        <v>-</v>
      </c>
      <c r="H52" s="12"/>
      <c r="I52" s="12" t="str">
        <f>IFERROR(VLOOKUP($B47,TABLA1!$B$14:$BF$1596,48,FALSE),"-")</f>
        <v>-</v>
      </c>
      <c r="J52" s="18" t="str">
        <f>IFERROR(VLOOKUP($B47,TABLA1!$B$14:$BF$1596,47,FALSE),"-")</f>
        <v>-</v>
      </c>
      <c r="K52" s="12" t="str">
        <f>IFERROR(VLOOKUP($B47,TABLA1!$B$14:$BF$1596,49,FALSE),"-")</f>
        <v>-</v>
      </c>
      <c r="L52" s="18" t="str">
        <f>IFERROR(VLOOKUP($B47,TABLA1!$B$14:$BF$1596,50,FALSE),"-")</f>
        <v>-</v>
      </c>
      <c r="M52" s="23" t="s">
        <v>63</v>
      </c>
      <c r="N52" s="23" t="s">
        <v>64</v>
      </c>
    </row>
    <row r="53" spans="2:14" x14ac:dyDescent="0.25">
      <c r="B53" s="22">
        <f>TABLA1!B22</f>
        <v>0</v>
      </c>
      <c r="C53" s="89" t="e">
        <f>VLOOKUP(B53,TABLA1!$B$14:$BF$1596,2,FALSE)</f>
        <v>#N/A</v>
      </c>
      <c r="D53" s="89" t="e">
        <f>VLOOKUP(B53,TABLA1!$B$14:$BF$1596,3,FALSE)</f>
        <v>#N/A</v>
      </c>
      <c r="E53" s="89" t="e">
        <f>VLOOKUP(B53,TABLA1!$B$14:$BF$1596,6,FALSE)&amp;"/"&amp;VLOOKUP(B53,TABLA1!$B$14:$BF$1596,7,FALSE)</f>
        <v>#N/A</v>
      </c>
      <c r="F53" s="89" t="e">
        <f>VLOOKUP(B53,TABLA1!$B$14:$BF$1596,8,FALSE)</f>
        <v>#N/A</v>
      </c>
      <c r="G53" s="54" t="str">
        <f>IF(IFERROR(VLOOKUP($B53,TABLA1!$B$14:$BF$1596,10,FALSE),"-")="ADELANTE","67-1",IF(IFERROR(VLOOKUP($B53,TABLA1!$B$14:$BF$1596,10,FALSE),"-")="BIDIECCIONAL","51","-"))</f>
        <v>-</v>
      </c>
      <c r="H53" s="54">
        <v>900</v>
      </c>
      <c r="I53" s="12" t="str">
        <f>IFERROR(VLOOKUP($B53,TABLA1!$B$14:$BF$1596,28,FALSE),"-")</f>
        <v>-</v>
      </c>
      <c r="J53" s="18" t="str">
        <f>IFERROR(VLOOKUP($B53,TABLA1!$B$14:$BF$1596,27,FALSE),"-")</f>
        <v>-</v>
      </c>
      <c r="K53" s="12" t="str">
        <f>IFERROR(VLOOKUP($B53,TABLA1!$B$14:$BF$1596,29,FALSE),"-")</f>
        <v>-</v>
      </c>
      <c r="L53" s="18" t="str">
        <f>IFERROR(VLOOKUP($B53,TABLA1!$B$14:$BF$1596,30,FALSE),"-")</f>
        <v>-</v>
      </c>
      <c r="M53" s="23" t="s">
        <v>63</v>
      </c>
      <c r="N53" s="23" t="s">
        <v>64</v>
      </c>
    </row>
    <row r="54" spans="2:14" x14ac:dyDescent="0.25">
      <c r="C54" s="90"/>
      <c r="D54" s="90"/>
      <c r="E54" s="90"/>
      <c r="F54" s="90"/>
      <c r="G54" s="12" t="str">
        <f>IF(IFERROR(VLOOKUP($B53,TABLA1!$B$14:$BF$1596,10+3,FALSE),"-")="ADELANTE","67-2",IF(IFERROR(VLOOKUP($B53,TABLA1!$B$14:$BF$1596,10+3,FALSE),"-")="BIDIECCIONAL","50-1","-"))</f>
        <v>-</v>
      </c>
      <c r="H54" s="12"/>
      <c r="I54" s="12" t="str">
        <f>IFERROR(VLOOKUP($B53,TABLA1!$B$14:$BF$1596,32,FALSE),"-")</f>
        <v>-</v>
      </c>
      <c r="J54" s="18" t="str">
        <f>IFERROR(VLOOKUP($B53,TABLA1!$B$14:$BF$1596,31,FALSE),"-")</f>
        <v>-</v>
      </c>
      <c r="K54" s="12" t="str">
        <f>IFERROR(VLOOKUP($B53,TABLA1!$B$14:$BF$1596,33,FALSE),"-")</f>
        <v>-</v>
      </c>
      <c r="L54" s="18" t="str">
        <f>IFERROR(VLOOKUP($B53,TABLA1!$B$14:$BF$1596,34,FALSE),"-")</f>
        <v>-</v>
      </c>
      <c r="M54" s="23" t="s">
        <v>63</v>
      </c>
      <c r="N54" s="23" t="s">
        <v>64</v>
      </c>
    </row>
    <row r="55" spans="2:14" x14ac:dyDescent="0.25">
      <c r="C55" s="90"/>
      <c r="D55" s="90"/>
      <c r="E55" s="90"/>
      <c r="F55" s="90"/>
      <c r="G55" s="12" t="str">
        <f>IF(IFERROR(VLOOKUP($B53,TABLA1!$B$14:$BF$1596,10+6,FALSE),"-")="ADELANTE","67-3",IF(IFERROR(VLOOKUP($B53,TABLA1!$B$14:$BF$1596,10+6,FALSE),"-")="BIDIECCIONAL","50-2","-"))</f>
        <v>-</v>
      </c>
      <c r="H55" s="12"/>
      <c r="I55" s="12" t="str">
        <f>IFERROR(VLOOKUP($B53,TABLA1!$B$14:$BF$1596,36,FALSE),"-")</f>
        <v>-</v>
      </c>
      <c r="J55" s="18" t="str">
        <f>IFERROR(VLOOKUP($B53,TABLA1!$B$14:$BF$1596,35,FALSE),"-")</f>
        <v>-</v>
      </c>
      <c r="K55" s="12" t="str">
        <f>IFERROR(VLOOKUP($B53,TABLA1!$B$14:$BF$1596,37,FALSE),"-")</f>
        <v>-</v>
      </c>
      <c r="L55" s="18" t="str">
        <f>IFERROR(VLOOKUP($B53,TABLA1!$B$14:$BF$1596,38,FALSE),"-")</f>
        <v>-</v>
      </c>
      <c r="M55" s="23" t="s">
        <v>63</v>
      </c>
      <c r="N55" s="23" t="s">
        <v>64</v>
      </c>
    </row>
    <row r="56" spans="2:14" x14ac:dyDescent="0.25">
      <c r="C56" s="90"/>
      <c r="D56" s="90"/>
      <c r="E56" s="90"/>
      <c r="F56" s="90"/>
      <c r="G56" s="12" t="str">
        <f>IF(IFERROR(VLOOKUP($B53,TABLA1!$B$14:$BF$1596,10+9,FALSE),"-")="ADELANTE","67N-1",IF(IFERROR(VLOOKUP($B53,TABLA1!$B$14:$BF$1596,10+9,FALSE),"-")="BIDIECCIONAL","51N","-"))</f>
        <v>-</v>
      </c>
      <c r="H56" s="12"/>
      <c r="I56" s="12" t="str">
        <f>IFERROR(VLOOKUP($B53,TABLA1!$B$14:$BF$1596,40,FALSE),"-")</f>
        <v>-</v>
      </c>
      <c r="J56" s="18" t="str">
        <f>IFERROR(VLOOKUP($B53,TABLA1!$B$14:$BF$1596,39,FALSE),"-")</f>
        <v>-</v>
      </c>
      <c r="K56" s="12" t="str">
        <f>IFERROR(VLOOKUP($B53,TABLA1!$B$14:$BF$1596,41,FALSE),"-")</f>
        <v>-</v>
      </c>
      <c r="L56" s="18" t="str">
        <f>IFERROR(VLOOKUP($B53,TABLA1!$B$14:$BF$1596,42,FALSE),"-")</f>
        <v>-</v>
      </c>
      <c r="M56" s="23" t="s">
        <v>63</v>
      </c>
      <c r="N56" s="23" t="s">
        <v>64</v>
      </c>
    </row>
    <row r="57" spans="2:14" x14ac:dyDescent="0.25">
      <c r="C57" s="90"/>
      <c r="D57" s="90"/>
      <c r="E57" s="90"/>
      <c r="F57" s="90"/>
      <c r="G57" s="12" t="str">
        <f>IF(IFERROR(VLOOKUP($B53,TABLA1!$B$14:$BF$1596,10+12,FALSE),"-")="ADELANTE","67N-2",IF(IFERROR(VLOOKUP($B53,TABLA1!$B$14:$BF$1596,10+12,FALSE),"-")="BIDIECCIONAL","50N/1","-"))</f>
        <v>-</v>
      </c>
      <c r="H57" s="12"/>
      <c r="I57" s="12" t="str">
        <f>IFERROR(VLOOKUP($B53,TABLA1!$B$14:$BF$1596,44,FALSE),"-")</f>
        <v>-</v>
      </c>
      <c r="J57" s="18" t="str">
        <f>IFERROR(VLOOKUP($B53,TABLA1!$B$14:$BF$1596,43,FALSE),"-")</f>
        <v>-</v>
      </c>
      <c r="K57" s="12" t="str">
        <f>IFERROR(VLOOKUP($B53,TABLA1!$B$14:$BF$1596,45,FALSE),"-")</f>
        <v>-</v>
      </c>
      <c r="L57" s="18" t="str">
        <f>IFERROR(VLOOKUP($B53,TABLA1!$B$14:$BF$1596,46,FALSE),"-")</f>
        <v>-</v>
      </c>
      <c r="M57" s="23" t="s">
        <v>63</v>
      </c>
      <c r="N57" s="23" t="s">
        <v>64</v>
      </c>
    </row>
    <row r="58" spans="2:14" x14ac:dyDescent="0.25">
      <c r="C58" s="91"/>
      <c r="D58" s="91"/>
      <c r="E58" s="91"/>
      <c r="F58" s="91"/>
      <c r="G58" s="12" t="str">
        <f>IF(IFERROR(VLOOKUP($B53,TABLA1!$B$14:$BF$1596,10+15,FALSE),"-")="ADELANTE","67N-3",IF(IFERROR(VLOOKUP($B53,TABLA1!$B$14:$BF$1596,10+15,FALSE),"-")="BIDIECCIONAL","50N-2","-"))</f>
        <v>-</v>
      </c>
      <c r="H58" s="12"/>
      <c r="I58" s="12" t="str">
        <f>IFERROR(VLOOKUP($B53,TABLA1!$B$14:$BF$1596,48,FALSE),"-")</f>
        <v>-</v>
      </c>
      <c r="J58" s="18" t="str">
        <f>IFERROR(VLOOKUP($B53,TABLA1!$B$14:$BF$1596,47,FALSE),"-")</f>
        <v>-</v>
      </c>
      <c r="K58" s="12" t="str">
        <f>IFERROR(VLOOKUP($B53,TABLA1!$B$14:$BF$1596,49,FALSE),"-")</f>
        <v>-</v>
      </c>
      <c r="L58" s="18" t="str">
        <f>IFERROR(VLOOKUP($B53,TABLA1!$B$14:$BF$1596,50,FALSE),"-")</f>
        <v>-</v>
      </c>
      <c r="M58" s="23" t="s">
        <v>63</v>
      </c>
      <c r="N58" s="23" t="s">
        <v>64</v>
      </c>
    </row>
    <row r="59" spans="2:14" x14ac:dyDescent="0.25">
      <c r="B59" s="22">
        <f>TABLA1!B23</f>
        <v>0</v>
      </c>
      <c r="C59" s="89" t="e">
        <f>VLOOKUP(B59,TABLA1!$B$14:$BF$1596,2,FALSE)</f>
        <v>#N/A</v>
      </c>
      <c r="D59" s="89" t="e">
        <f>VLOOKUP(B59,TABLA1!$B$14:$BF$1596,3,FALSE)</f>
        <v>#N/A</v>
      </c>
      <c r="E59" s="89" t="e">
        <f>VLOOKUP(B59,TABLA1!$B$14:$BF$1596,6,FALSE)&amp;"/"&amp;VLOOKUP(B59,TABLA1!$B$14:$BF$1596,7,FALSE)</f>
        <v>#N/A</v>
      </c>
      <c r="F59" s="89" t="e">
        <f>VLOOKUP(B59,TABLA1!$B$14:$BF$1596,8,FALSE)</f>
        <v>#N/A</v>
      </c>
      <c r="G59" s="54" t="str">
        <f>IF(IFERROR(VLOOKUP($B59,TABLA1!$B$14:$BF$1596,10,FALSE),"-")="ADELANTE","67-1",IF(IFERROR(VLOOKUP($B59,TABLA1!$B$14:$BF$1596,10,FALSE),"-")="BIDIECCIONAL","51","-"))</f>
        <v>-</v>
      </c>
      <c r="H59" s="54">
        <v>900</v>
      </c>
      <c r="I59" s="12" t="str">
        <f>IFERROR(VLOOKUP($B59,TABLA1!$B$14:$BF$1596,28,FALSE),"-")</f>
        <v>-</v>
      </c>
      <c r="J59" s="18" t="str">
        <f>IFERROR(VLOOKUP($B59,TABLA1!$B$14:$BF$1596,27,FALSE),"-")</f>
        <v>-</v>
      </c>
      <c r="K59" s="12" t="str">
        <f>IFERROR(VLOOKUP($B59,TABLA1!$B$14:$BF$1596,29,FALSE),"-")</f>
        <v>-</v>
      </c>
      <c r="L59" s="18" t="str">
        <f>IFERROR(VLOOKUP($B59,TABLA1!$B$14:$BF$1596,30,FALSE),"-")</f>
        <v>-</v>
      </c>
      <c r="M59" s="23" t="s">
        <v>63</v>
      </c>
      <c r="N59" s="23" t="s">
        <v>64</v>
      </c>
    </row>
    <row r="60" spans="2:14" x14ac:dyDescent="0.25">
      <c r="C60" s="90"/>
      <c r="D60" s="90"/>
      <c r="E60" s="90"/>
      <c r="F60" s="90"/>
      <c r="G60" s="12" t="str">
        <f>IF(IFERROR(VLOOKUP($B59,TABLA1!$B$14:$BF$1596,10+3,FALSE),"-")="ADELANTE","67-2",IF(IFERROR(VLOOKUP($B59,TABLA1!$B$14:$BF$1596,10+3,FALSE),"-")="BIDIECCIONAL","50-1","-"))</f>
        <v>-</v>
      </c>
      <c r="H60" s="12"/>
      <c r="I60" s="12" t="str">
        <f>IFERROR(VLOOKUP($B59,TABLA1!$B$14:$BF$1596,32,FALSE),"-")</f>
        <v>-</v>
      </c>
      <c r="J60" s="18" t="str">
        <f>IFERROR(VLOOKUP($B59,TABLA1!$B$14:$BF$1596,31,FALSE),"-")</f>
        <v>-</v>
      </c>
      <c r="K60" s="12" t="str">
        <f>IFERROR(VLOOKUP($B59,TABLA1!$B$14:$BF$1596,33,FALSE),"-")</f>
        <v>-</v>
      </c>
      <c r="L60" s="18" t="str">
        <f>IFERROR(VLOOKUP($B59,TABLA1!$B$14:$BF$1596,34,FALSE),"-")</f>
        <v>-</v>
      </c>
      <c r="M60" s="23" t="s">
        <v>63</v>
      </c>
      <c r="N60" s="23" t="s">
        <v>64</v>
      </c>
    </row>
    <row r="61" spans="2:14" x14ac:dyDescent="0.25">
      <c r="C61" s="90"/>
      <c r="D61" s="90"/>
      <c r="E61" s="90"/>
      <c r="F61" s="90"/>
      <c r="G61" s="12" t="str">
        <f>IF(IFERROR(VLOOKUP($B59,TABLA1!$B$14:$BF$1596,10+6,FALSE),"-")="ADELANTE","67-3",IF(IFERROR(VLOOKUP($B59,TABLA1!$B$14:$BF$1596,10+6,FALSE),"-")="BIDIECCIONAL","50-2","-"))</f>
        <v>-</v>
      </c>
      <c r="H61" s="12"/>
      <c r="I61" s="12" t="str">
        <f>IFERROR(VLOOKUP($B59,TABLA1!$B$14:$BF$1596,36,FALSE),"-")</f>
        <v>-</v>
      </c>
      <c r="J61" s="18" t="str">
        <f>IFERROR(VLOOKUP($B59,TABLA1!$B$14:$BF$1596,35,FALSE),"-")</f>
        <v>-</v>
      </c>
      <c r="K61" s="12" t="str">
        <f>IFERROR(VLOOKUP($B59,TABLA1!$B$14:$BF$1596,37,FALSE),"-")</f>
        <v>-</v>
      </c>
      <c r="L61" s="18" t="str">
        <f>IFERROR(VLOOKUP($B59,TABLA1!$B$14:$BF$1596,38,FALSE),"-")</f>
        <v>-</v>
      </c>
      <c r="M61" s="23" t="s">
        <v>63</v>
      </c>
      <c r="N61" s="23" t="s">
        <v>64</v>
      </c>
    </row>
    <row r="62" spans="2:14" x14ac:dyDescent="0.25">
      <c r="C62" s="90"/>
      <c r="D62" s="90"/>
      <c r="E62" s="90"/>
      <c r="F62" s="90"/>
      <c r="G62" s="12" t="str">
        <f>IF(IFERROR(VLOOKUP($B59,TABLA1!$B$14:$BF$1596,10+9,FALSE),"-")="ADELANTE","67N-1",IF(IFERROR(VLOOKUP($B59,TABLA1!$B$14:$BF$1596,10+9,FALSE),"-")="BIDIECCIONAL","51N","-"))</f>
        <v>-</v>
      </c>
      <c r="H62" s="12"/>
      <c r="I62" s="12" t="str">
        <f>IFERROR(VLOOKUP($B59,TABLA1!$B$14:$BF$1596,40,FALSE),"-")</f>
        <v>-</v>
      </c>
      <c r="J62" s="18" t="str">
        <f>IFERROR(VLOOKUP($B59,TABLA1!$B$14:$BF$1596,39,FALSE),"-")</f>
        <v>-</v>
      </c>
      <c r="K62" s="12" t="str">
        <f>IFERROR(VLOOKUP($B59,TABLA1!$B$14:$BF$1596,41,FALSE),"-")</f>
        <v>-</v>
      </c>
      <c r="L62" s="18" t="str">
        <f>IFERROR(VLOOKUP($B59,TABLA1!$B$14:$BF$1596,42,FALSE),"-")</f>
        <v>-</v>
      </c>
      <c r="M62" s="23" t="s">
        <v>63</v>
      </c>
      <c r="N62" s="23" t="s">
        <v>64</v>
      </c>
    </row>
    <row r="63" spans="2:14" x14ac:dyDescent="0.25">
      <c r="C63" s="90"/>
      <c r="D63" s="90"/>
      <c r="E63" s="90"/>
      <c r="F63" s="90"/>
      <c r="G63" s="12" t="str">
        <f>IF(IFERROR(VLOOKUP($B59,TABLA1!$B$14:$BF$1596,10+12,FALSE),"-")="ADELANTE","67N-2",IF(IFERROR(VLOOKUP($B59,TABLA1!$B$14:$BF$1596,10+12,FALSE),"-")="BIDIECCIONAL","50N/1","-"))</f>
        <v>-</v>
      </c>
      <c r="H63" s="12"/>
      <c r="I63" s="12" t="str">
        <f>IFERROR(VLOOKUP($B59,TABLA1!$B$14:$BF$1596,44,FALSE),"-")</f>
        <v>-</v>
      </c>
      <c r="J63" s="18" t="str">
        <f>IFERROR(VLOOKUP($B59,TABLA1!$B$14:$BF$1596,43,FALSE),"-")</f>
        <v>-</v>
      </c>
      <c r="K63" s="12" t="str">
        <f>IFERROR(VLOOKUP($B59,TABLA1!$B$14:$BF$1596,45,FALSE),"-")</f>
        <v>-</v>
      </c>
      <c r="L63" s="18" t="str">
        <f>IFERROR(VLOOKUP($B59,TABLA1!$B$14:$BF$1596,46,FALSE),"-")</f>
        <v>-</v>
      </c>
      <c r="M63" s="23" t="s">
        <v>63</v>
      </c>
      <c r="N63" s="23" t="s">
        <v>64</v>
      </c>
    </row>
    <row r="64" spans="2:14" x14ac:dyDescent="0.25">
      <c r="C64" s="91"/>
      <c r="D64" s="91"/>
      <c r="E64" s="91"/>
      <c r="F64" s="91"/>
      <c r="G64" s="12" t="str">
        <f>IF(IFERROR(VLOOKUP($B59,TABLA1!$B$14:$BF$1596,10+15,FALSE),"-")="ADELANTE","67N-3",IF(IFERROR(VLOOKUP($B59,TABLA1!$B$14:$BF$1596,10+15,FALSE),"-")="BIDIECCIONAL","50N-2","-"))</f>
        <v>-</v>
      </c>
      <c r="H64" s="12"/>
      <c r="I64" s="12" t="str">
        <f>IFERROR(VLOOKUP($B59,TABLA1!$B$14:$BF$1596,48,FALSE),"-")</f>
        <v>-</v>
      </c>
      <c r="J64" s="18" t="str">
        <f>IFERROR(VLOOKUP($B59,TABLA1!$B$14:$BF$1596,47,FALSE),"-")</f>
        <v>-</v>
      </c>
      <c r="K64" s="12" t="str">
        <f>IFERROR(VLOOKUP($B59,TABLA1!$B$14:$BF$1596,49,FALSE),"-")</f>
        <v>-</v>
      </c>
      <c r="L64" s="18" t="str">
        <f>IFERROR(VLOOKUP($B59,TABLA1!$B$14:$BF$1596,50,FALSE),"-")</f>
        <v>-</v>
      </c>
      <c r="M64" s="23" t="s">
        <v>63</v>
      </c>
      <c r="N64" s="23" t="s">
        <v>64</v>
      </c>
    </row>
    <row r="65" spans="2:14" x14ac:dyDescent="0.25">
      <c r="B65" s="22">
        <f>TABLA1!B24</f>
        <v>0</v>
      </c>
      <c r="C65" s="89" t="e">
        <f>VLOOKUP(B65,TABLA1!$B$14:$BF$1596,2,FALSE)</f>
        <v>#N/A</v>
      </c>
      <c r="D65" s="89" t="e">
        <f>VLOOKUP(B65,TABLA1!$B$14:$BF$1596,3,FALSE)</f>
        <v>#N/A</v>
      </c>
      <c r="E65" s="89" t="e">
        <f>VLOOKUP(B65,TABLA1!$B$14:$BF$1596,6,FALSE)&amp;"/"&amp;VLOOKUP(B65,TABLA1!$B$14:$BF$1596,7,FALSE)</f>
        <v>#N/A</v>
      </c>
      <c r="F65" s="89" t="e">
        <f>VLOOKUP(B65,TABLA1!$B$14:$BF$1596,8,FALSE)</f>
        <v>#N/A</v>
      </c>
      <c r="G65" s="54" t="str">
        <f>IF(IFERROR(VLOOKUP($B65,TABLA1!$B$14:$BF$1596,10,FALSE),"-")="ADELANTE","67-1",IF(IFERROR(VLOOKUP($B65,TABLA1!$B$14:$BF$1596,10,FALSE),"-")="BIDIECCIONAL","51","-"))</f>
        <v>-</v>
      </c>
      <c r="H65" s="54">
        <v>900</v>
      </c>
      <c r="I65" s="12" t="str">
        <f>IFERROR(VLOOKUP($B65,TABLA1!$B$14:$BF$1596,28,FALSE),"-")</f>
        <v>-</v>
      </c>
      <c r="J65" s="18" t="str">
        <f>IFERROR(VLOOKUP($B65,TABLA1!$B$14:$BF$1596,27,FALSE),"-")</f>
        <v>-</v>
      </c>
      <c r="K65" s="12" t="str">
        <f>IFERROR(VLOOKUP($B65,TABLA1!$B$14:$BF$1596,29,FALSE),"-")</f>
        <v>-</v>
      </c>
      <c r="L65" s="18" t="str">
        <f>IFERROR(VLOOKUP($B65,TABLA1!$B$14:$BF$1596,30,FALSE),"-")</f>
        <v>-</v>
      </c>
      <c r="M65" s="23" t="s">
        <v>63</v>
      </c>
      <c r="N65" s="23" t="s">
        <v>64</v>
      </c>
    </row>
    <row r="66" spans="2:14" x14ac:dyDescent="0.25">
      <c r="C66" s="90"/>
      <c r="D66" s="90"/>
      <c r="E66" s="90"/>
      <c r="F66" s="90"/>
      <c r="G66" s="12" t="str">
        <f>IF(IFERROR(VLOOKUP($B65,TABLA1!$B$14:$BF$1596,10+3,FALSE),"-")="ADELANTE","67-2",IF(IFERROR(VLOOKUP($B65,TABLA1!$B$14:$BF$1596,10+3,FALSE),"-")="BIDIECCIONAL","50-1","-"))</f>
        <v>-</v>
      </c>
      <c r="H66" s="12"/>
      <c r="I66" s="12" t="str">
        <f>IFERROR(VLOOKUP($B65,TABLA1!$B$14:$BF$1596,32,FALSE),"-")</f>
        <v>-</v>
      </c>
      <c r="J66" s="18" t="str">
        <f>IFERROR(VLOOKUP($B65,TABLA1!$B$14:$BF$1596,31,FALSE),"-")</f>
        <v>-</v>
      </c>
      <c r="K66" s="12" t="str">
        <f>IFERROR(VLOOKUP($B65,TABLA1!$B$14:$BF$1596,33,FALSE),"-")</f>
        <v>-</v>
      </c>
      <c r="L66" s="18" t="str">
        <f>IFERROR(VLOOKUP($B65,TABLA1!$B$14:$BF$1596,34,FALSE),"-")</f>
        <v>-</v>
      </c>
      <c r="M66" s="23" t="s">
        <v>63</v>
      </c>
      <c r="N66" s="23" t="s">
        <v>64</v>
      </c>
    </row>
    <row r="67" spans="2:14" x14ac:dyDescent="0.25">
      <c r="C67" s="90"/>
      <c r="D67" s="90"/>
      <c r="E67" s="90"/>
      <c r="F67" s="90"/>
      <c r="G67" s="12" t="str">
        <f>IF(IFERROR(VLOOKUP($B65,TABLA1!$B$14:$BF$1596,10+6,FALSE),"-")="ADELANTE","67-3",IF(IFERROR(VLOOKUP($B65,TABLA1!$B$14:$BF$1596,10+6,FALSE),"-")="BIDIECCIONAL","50-2","-"))</f>
        <v>-</v>
      </c>
      <c r="H67" s="12"/>
      <c r="I67" s="12" t="str">
        <f>IFERROR(VLOOKUP($B65,TABLA1!$B$14:$BF$1596,36,FALSE),"-")</f>
        <v>-</v>
      </c>
      <c r="J67" s="18" t="str">
        <f>IFERROR(VLOOKUP($B65,TABLA1!$B$14:$BF$1596,35,FALSE),"-")</f>
        <v>-</v>
      </c>
      <c r="K67" s="12" t="str">
        <f>IFERROR(VLOOKUP($B65,TABLA1!$B$14:$BF$1596,37,FALSE),"-")</f>
        <v>-</v>
      </c>
      <c r="L67" s="18" t="str">
        <f>IFERROR(VLOOKUP($B65,TABLA1!$B$14:$BF$1596,38,FALSE),"-")</f>
        <v>-</v>
      </c>
      <c r="M67" s="23" t="s">
        <v>63</v>
      </c>
      <c r="N67" s="23" t="s">
        <v>64</v>
      </c>
    </row>
    <row r="68" spans="2:14" x14ac:dyDescent="0.25">
      <c r="C68" s="90"/>
      <c r="D68" s="90"/>
      <c r="E68" s="90"/>
      <c r="F68" s="90"/>
      <c r="G68" s="12" t="str">
        <f>IF(IFERROR(VLOOKUP($B65,TABLA1!$B$14:$BF$1596,10+9,FALSE),"-")="ADELANTE","67N-1",IF(IFERROR(VLOOKUP($B65,TABLA1!$B$14:$BF$1596,10+9,FALSE),"-")="BIDIECCIONAL","51N","-"))</f>
        <v>-</v>
      </c>
      <c r="H68" s="12"/>
      <c r="I68" s="12" t="str">
        <f>IFERROR(VLOOKUP($B65,TABLA1!$B$14:$BF$1596,40,FALSE),"-")</f>
        <v>-</v>
      </c>
      <c r="J68" s="18" t="str">
        <f>IFERROR(VLOOKUP($B65,TABLA1!$B$14:$BF$1596,39,FALSE),"-")</f>
        <v>-</v>
      </c>
      <c r="K68" s="12" t="str">
        <f>IFERROR(VLOOKUP($B65,TABLA1!$B$14:$BF$1596,41,FALSE),"-")</f>
        <v>-</v>
      </c>
      <c r="L68" s="18" t="str">
        <f>IFERROR(VLOOKUP($B65,TABLA1!$B$14:$BF$1596,42,FALSE),"-")</f>
        <v>-</v>
      </c>
      <c r="M68" s="23" t="s">
        <v>63</v>
      </c>
      <c r="N68" s="23" t="s">
        <v>64</v>
      </c>
    </row>
    <row r="69" spans="2:14" x14ac:dyDescent="0.25">
      <c r="C69" s="90"/>
      <c r="D69" s="90"/>
      <c r="E69" s="90"/>
      <c r="F69" s="90"/>
      <c r="G69" s="12" t="str">
        <f>IF(IFERROR(VLOOKUP($B65,TABLA1!$B$14:$BF$1596,10+12,FALSE),"-")="ADELANTE","67N-2",IF(IFERROR(VLOOKUP($B65,TABLA1!$B$14:$BF$1596,10+12,FALSE),"-")="BIDIECCIONAL","50N/1","-"))</f>
        <v>-</v>
      </c>
      <c r="H69" s="12"/>
      <c r="I69" s="12" t="str">
        <f>IFERROR(VLOOKUP($B65,TABLA1!$B$14:$BF$1596,44,FALSE),"-")</f>
        <v>-</v>
      </c>
      <c r="J69" s="18" t="str">
        <f>IFERROR(VLOOKUP($B65,TABLA1!$B$14:$BF$1596,43,FALSE),"-")</f>
        <v>-</v>
      </c>
      <c r="K69" s="12" t="str">
        <f>IFERROR(VLOOKUP($B65,TABLA1!$B$14:$BF$1596,45,FALSE),"-")</f>
        <v>-</v>
      </c>
      <c r="L69" s="18" t="str">
        <f>IFERROR(VLOOKUP($B65,TABLA1!$B$14:$BF$1596,46,FALSE),"-")</f>
        <v>-</v>
      </c>
      <c r="M69" s="23" t="s">
        <v>63</v>
      </c>
      <c r="N69" s="23" t="s">
        <v>64</v>
      </c>
    </row>
    <row r="70" spans="2:14" x14ac:dyDescent="0.25">
      <c r="C70" s="91"/>
      <c r="D70" s="91"/>
      <c r="E70" s="91"/>
      <c r="F70" s="91"/>
      <c r="G70" s="12" t="str">
        <f>IF(IFERROR(VLOOKUP($B65,TABLA1!$B$14:$BF$1596,10+15,FALSE),"-")="ADELANTE","67N-3",IF(IFERROR(VLOOKUP($B65,TABLA1!$B$14:$BF$1596,10+15,FALSE),"-")="BIDIECCIONAL","50N-2","-"))</f>
        <v>-</v>
      </c>
      <c r="H70" s="12"/>
      <c r="I70" s="12" t="str">
        <f>IFERROR(VLOOKUP($B65,TABLA1!$B$14:$BF$1596,48,FALSE),"-")</f>
        <v>-</v>
      </c>
      <c r="J70" s="18" t="str">
        <f>IFERROR(VLOOKUP($B65,TABLA1!$B$14:$BF$1596,47,FALSE),"-")</f>
        <v>-</v>
      </c>
      <c r="K70" s="12" t="str">
        <f>IFERROR(VLOOKUP($B65,TABLA1!$B$14:$BF$1596,49,FALSE),"-")</f>
        <v>-</v>
      </c>
      <c r="L70" s="18" t="str">
        <f>IFERROR(VLOOKUP($B65,TABLA1!$B$14:$BF$1596,50,FALSE),"-")</f>
        <v>-</v>
      </c>
      <c r="M70" s="23" t="s">
        <v>63</v>
      </c>
      <c r="N70" s="23" t="s">
        <v>64</v>
      </c>
    </row>
    <row r="71" spans="2:14" x14ac:dyDescent="0.25">
      <c r="B71" s="22">
        <f>TABLA1!B25</f>
        <v>0</v>
      </c>
      <c r="C71" s="89" t="e">
        <f>VLOOKUP(B71,TABLA1!$B$14:$BF$1596,2,FALSE)</f>
        <v>#N/A</v>
      </c>
      <c r="D71" s="89" t="e">
        <f>VLOOKUP(B71,TABLA1!$B$14:$BF$1596,3,FALSE)</f>
        <v>#N/A</v>
      </c>
      <c r="E71" s="89" t="e">
        <f>VLOOKUP(B71,TABLA1!$B$14:$BF$1596,6,FALSE)&amp;"/"&amp;VLOOKUP(B71,TABLA1!$B$14:$BF$1596,7,FALSE)</f>
        <v>#N/A</v>
      </c>
      <c r="F71" s="89" t="e">
        <f>VLOOKUP(B71,TABLA1!$B$14:$BF$1596,8,FALSE)</f>
        <v>#N/A</v>
      </c>
      <c r="G71" s="54" t="str">
        <f>IF(IFERROR(VLOOKUP($B71,TABLA1!$B$14:$BF$1596,10,FALSE),"-")="ADELANTE","67-1",IF(IFERROR(VLOOKUP($B71,TABLA1!$B$14:$BF$1596,10,FALSE),"-")="BIDIECCIONAL","51","-"))</f>
        <v>-</v>
      </c>
      <c r="H71" s="54">
        <v>900</v>
      </c>
      <c r="I71" s="12" t="str">
        <f>IFERROR(VLOOKUP($B71,TABLA1!$B$14:$BF$1596,28,FALSE),"-")</f>
        <v>-</v>
      </c>
      <c r="J71" s="18" t="str">
        <f>IFERROR(VLOOKUP($B71,TABLA1!$B$14:$BF$1596,27,FALSE),"-")</f>
        <v>-</v>
      </c>
      <c r="K71" s="12" t="str">
        <f>IFERROR(VLOOKUP($B71,TABLA1!$B$14:$BF$1596,29,FALSE),"-")</f>
        <v>-</v>
      </c>
      <c r="L71" s="18" t="str">
        <f>IFERROR(VLOOKUP($B71,TABLA1!$B$14:$BF$1596,30,FALSE),"-")</f>
        <v>-</v>
      </c>
      <c r="M71" s="23" t="s">
        <v>63</v>
      </c>
      <c r="N71" s="23" t="s">
        <v>64</v>
      </c>
    </row>
    <row r="72" spans="2:14" x14ac:dyDescent="0.25">
      <c r="C72" s="90"/>
      <c r="D72" s="90"/>
      <c r="E72" s="90"/>
      <c r="F72" s="90"/>
      <c r="G72" s="12" t="str">
        <f>IF(IFERROR(VLOOKUP($B71,TABLA1!$B$14:$BF$1596,10+3,FALSE),"-")="ADELANTE","67-2",IF(IFERROR(VLOOKUP($B71,TABLA1!$B$14:$BF$1596,10+3,FALSE),"-")="BIDIECCIONAL","50-1","-"))</f>
        <v>-</v>
      </c>
      <c r="H72" s="12"/>
      <c r="I72" s="12" t="str">
        <f>IFERROR(VLOOKUP($B71,TABLA1!$B$14:$BF$1596,32,FALSE),"-")</f>
        <v>-</v>
      </c>
      <c r="J72" s="18" t="str">
        <f>IFERROR(VLOOKUP($B71,TABLA1!$B$14:$BF$1596,31,FALSE),"-")</f>
        <v>-</v>
      </c>
      <c r="K72" s="12" t="str">
        <f>IFERROR(VLOOKUP($B71,TABLA1!$B$14:$BF$1596,33,FALSE),"-")</f>
        <v>-</v>
      </c>
      <c r="L72" s="18" t="str">
        <f>IFERROR(VLOOKUP($B71,TABLA1!$B$14:$BF$1596,34,FALSE),"-")</f>
        <v>-</v>
      </c>
      <c r="M72" s="23" t="s">
        <v>63</v>
      </c>
      <c r="N72" s="23" t="s">
        <v>64</v>
      </c>
    </row>
    <row r="73" spans="2:14" x14ac:dyDescent="0.25">
      <c r="C73" s="90"/>
      <c r="D73" s="90"/>
      <c r="E73" s="90"/>
      <c r="F73" s="90"/>
      <c r="G73" s="12" t="str">
        <f>IF(IFERROR(VLOOKUP($B71,TABLA1!$B$14:$BF$1596,10+6,FALSE),"-")="ADELANTE","67-3",IF(IFERROR(VLOOKUP($B71,TABLA1!$B$14:$BF$1596,10+6,FALSE),"-")="BIDIECCIONAL","50-2","-"))</f>
        <v>-</v>
      </c>
      <c r="H73" s="12"/>
      <c r="I73" s="12" t="str">
        <f>IFERROR(VLOOKUP($B71,TABLA1!$B$14:$BF$1596,36,FALSE),"-")</f>
        <v>-</v>
      </c>
      <c r="J73" s="18" t="str">
        <f>IFERROR(VLOOKUP($B71,TABLA1!$B$14:$BF$1596,35,FALSE),"-")</f>
        <v>-</v>
      </c>
      <c r="K73" s="12" t="str">
        <f>IFERROR(VLOOKUP($B71,TABLA1!$B$14:$BF$1596,37,FALSE),"-")</f>
        <v>-</v>
      </c>
      <c r="L73" s="18" t="str">
        <f>IFERROR(VLOOKUP($B71,TABLA1!$B$14:$BF$1596,38,FALSE),"-")</f>
        <v>-</v>
      </c>
      <c r="M73" s="23" t="s">
        <v>63</v>
      </c>
      <c r="N73" s="23" t="s">
        <v>64</v>
      </c>
    </row>
    <row r="74" spans="2:14" x14ac:dyDescent="0.25">
      <c r="C74" s="90"/>
      <c r="D74" s="90"/>
      <c r="E74" s="90"/>
      <c r="F74" s="90"/>
      <c r="G74" s="12" t="str">
        <f>IF(IFERROR(VLOOKUP($B71,TABLA1!$B$14:$BF$1596,10+9,FALSE),"-")="ADELANTE","67N-1",IF(IFERROR(VLOOKUP($B71,TABLA1!$B$14:$BF$1596,10+9,FALSE),"-")="BIDIECCIONAL","51N","-"))</f>
        <v>-</v>
      </c>
      <c r="H74" s="12"/>
      <c r="I74" s="12" t="str">
        <f>IFERROR(VLOOKUP($B71,TABLA1!$B$14:$BF$1596,40,FALSE),"-")</f>
        <v>-</v>
      </c>
      <c r="J74" s="18" t="str">
        <f>IFERROR(VLOOKUP($B71,TABLA1!$B$14:$BF$1596,39,FALSE),"-")</f>
        <v>-</v>
      </c>
      <c r="K74" s="12" t="str">
        <f>IFERROR(VLOOKUP($B71,TABLA1!$B$14:$BF$1596,41,FALSE),"-")</f>
        <v>-</v>
      </c>
      <c r="L74" s="18" t="str">
        <f>IFERROR(VLOOKUP($B71,TABLA1!$B$14:$BF$1596,42,FALSE),"-")</f>
        <v>-</v>
      </c>
      <c r="M74" s="23" t="s">
        <v>63</v>
      </c>
      <c r="N74" s="23" t="s">
        <v>64</v>
      </c>
    </row>
    <row r="75" spans="2:14" x14ac:dyDescent="0.25">
      <c r="C75" s="90"/>
      <c r="D75" s="90"/>
      <c r="E75" s="90"/>
      <c r="F75" s="90"/>
      <c r="G75" s="12" t="str">
        <f>IF(IFERROR(VLOOKUP($B71,TABLA1!$B$14:$BF$1596,10+12,FALSE),"-")="ADELANTE","67N-2",IF(IFERROR(VLOOKUP($B71,TABLA1!$B$14:$BF$1596,10+12,FALSE),"-")="BIDIECCIONAL","50N/1","-"))</f>
        <v>-</v>
      </c>
      <c r="H75" s="12"/>
      <c r="I75" s="12" t="str">
        <f>IFERROR(VLOOKUP($B71,TABLA1!$B$14:$BF$1596,44,FALSE),"-")</f>
        <v>-</v>
      </c>
      <c r="J75" s="18" t="str">
        <f>IFERROR(VLOOKUP($B71,TABLA1!$B$14:$BF$1596,43,FALSE),"-")</f>
        <v>-</v>
      </c>
      <c r="K75" s="12" t="str">
        <f>IFERROR(VLOOKUP($B71,TABLA1!$B$14:$BF$1596,45,FALSE),"-")</f>
        <v>-</v>
      </c>
      <c r="L75" s="18" t="str">
        <f>IFERROR(VLOOKUP($B71,TABLA1!$B$14:$BF$1596,46,FALSE),"-")</f>
        <v>-</v>
      </c>
      <c r="M75" s="23" t="s">
        <v>63</v>
      </c>
      <c r="N75" s="23" t="s">
        <v>64</v>
      </c>
    </row>
    <row r="76" spans="2:14" x14ac:dyDescent="0.25">
      <c r="C76" s="91"/>
      <c r="D76" s="91"/>
      <c r="E76" s="91"/>
      <c r="F76" s="91"/>
      <c r="G76" s="12" t="str">
        <f>IF(IFERROR(VLOOKUP($B71,TABLA1!$B$14:$BF$1596,10+15,FALSE),"-")="ADELANTE","67N-3",IF(IFERROR(VLOOKUP($B71,TABLA1!$B$14:$BF$1596,10+15,FALSE),"-")="BIDIECCIONAL","50N-2","-"))</f>
        <v>-</v>
      </c>
      <c r="H76" s="12"/>
      <c r="I76" s="12" t="str">
        <f>IFERROR(VLOOKUP($B71,TABLA1!$B$14:$BF$1596,48,FALSE),"-")</f>
        <v>-</v>
      </c>
      <c r="J76" s="18" t="str">
        <f>IFERROR(VLOOKUP($B71,TABLA1!$B$14:$BF$1596,47,FALSE),"-")</f>
        <v>-</v>
      </c>
      <c r="K76" s="12" t="str">
        <f>IFERROR(VLOOKUP($B71,TABLA1!$B$14:$BF$1596,49,FALSE),"-")</f>
        <v>-</v>
      </c>
      <c r="L76" s="18" t="str">
        <f>IFERROR(VLOOKUP($B71,TABLA1!$B$14:$BF$1596,50,FALSE),"-")</f>
        <v>-</v>
      </c>
      <c r="M76" s="23" t="s">
        <v>63</v>
      </c>
      <c r="N76" s="23" t="s">
        <v>64</v>
      </c>
    </row>
    <row r="77" spans="2:14" x14ac:dyDescent="0.25">
      <c r="B77" s="22">
        <f>TABLA1!B26</f>
        <v>0</v>
      </c>
      <c r="C77" s="89" t="e">
        <f>VLOOKUP(B77,TABLA1!$B$14:$BF$1596,2,FALSE)</f>
        <v>#N/A</v>
      </c>
      <c r="D77" s="89" t="e">
        <f>VLOOKUP(B77,TABLA1!$B$14:$BF$1596,3,FALSE)</f>
        <v>#N/A</v>
      </c>
      <c r="E77" s="89" t="e">
        <f>VLOOKUP(B77,TABLA1!$B$14:$BF$1596,6,FALSE)&amp;"/"&amp;VLOOKUP(B77,TABLA1!$B$14:$BF$1596,7,FALSE)</f>
        <v>#N/A</v>
      </c>
      <c r="F77" s="89" t="e">
        <f>VLOOKUP(B77,TABLA1!$B$14:$BF$1596,8,FALSE)</f>
        <v>#N/A</v>
      </c>
      <c r="G77" s="54" t="str">
        <f>IF(IFERROR(VLOOKUP($B77,TABLA1!$B$14:$BF$1596,10,FALSE),"-")="ADELANTE","67-1",IF(IFERROR(VLOOKUP($B77,TABLA1!$B$14:$BF$1596,10,FALSE),"-")="BIDIECCIONAL","51","-"))</f>
        <v>-</v>
      </c>
      <c r="H77" s="54">
        <v>900</v>
      </c>
      <c r="I77" s="12" t="str">
        <f>IFERROR(VLOOKUP($B77,TABLA1!$B$14:$BF$1596,28,FALSE),"-")</f>
        <v>-</v>
      </c>
      <c r="J77" s="18" t="str">
        <f>IFERROR(VLOOKUP($B77,TABLA1!$B$14:$BF$1596,27,FALSE),"-")</f>
        <v>-</v>
      </c>
      <c r="K77" s="12" t="str">
        <f>IFERROR(VLOOKUP($B77,TABLA1!$B$14:$BF$1596,29,FALSE),"-")</f>
        <v>-</v>
      </c>
      <c r="L77" s="18" t="str">
        <f>IFERROR(VLOOKUP($B77,TABLA1!$B$14:$BF$1596,30,FALSE),"-")</f>
        <v>-</v>
      </c>
      <c r="M77" s="23" t="s">
        <v>63</v>
      </c>
      <c r="N77" s="23" t="s">
        <v>64</v>
      </c>
    </row>
    <row r="78" spans="2:14" x14ac:dyDescent="0.25">
      <c r="C78" s="90"/>
      <c r="D78" s="90"/>
      <c r="E78" s="90"/>
      <c r="F78" s="90"/>
      <c r="G78" s="12" t="str">
        <f>IF(IFERROR(VLOOKUP($B77,TABLA1!$B$14:$BF$1596,10+3,FALSE),"-")="ADELANTE","67-2",IF(IFERROR(VLOOKUP($B77,TABLA1!$B$14:$BF$1596,10+3,FALSE),"-")="BIDIECCIONAL","50-1","-"))</f>
        <v>-</v>
      </c>
      <c r="H78" s="12"/>
      <c r="I78" s="12" t="str">
        <f>IFERROR(VLOOKUP($B77,TABLA1!$B$14:$BF$1596,32,FALSE),"-")</f>
        <v>-</v>
      </c>
      <c r="J78" s="18" t="str">
        <f>IFERROR(VLOOKUP($B77,TABLA1!$B$14:$BF$1596,31,FALSE),"-")</f>
        <v>-</v>
      </c>
      <c r="K78" s="12" t="str">
        <f>IFERROR(VLOOKUP($B77,TABLA1!$B$14:$BF$1596,33,FALSE),"-")</f>
        <v>-</v>
      </c>
      <c r="L78" s="18" t="str">
        <f>IFERROR(VLOOKUP($B77,TABLA1!$B$14:$BF$1596,34,FALSE),"-")</f>
        <v>-</v>
      </c>
      <c r="M78" s="23" t="s">
        <v>63</v>
      </c>
      <c r="N78" s="23" t="s">
        <v>64</v>
      </c>
    </row>
    <row r="79" spans="2:14" x14ac:dyDescent="0.25">
      <c r="C79" s="90"/>
      <c r="D79" s="90"/>
      <c r="E79" s="90"/>
      <c r="F79" s="90"/>
      <c r="G79" s="12" t="str">
        <f>IF(IFERROR(VLOOKUP($B77,TABLA1!$B$14:$BF$1596,10+6,FALSE),"-")="ADELANTE","67-3",IF(IFERROR(VLOOKUP($B77,TABLA1!$B$14:$BF$1596,10+6,FALSE),"-")="BIDIECCIONAL","50-2","-"))</f>
        <v>-</v>
      </c>
      <c r="H79" s="12"/>
      <c r="I79" s="12" t="str">
        <f>IFERROR(VLOOKUP($B77,TABLA1!$B$14:$BF$1596,36,FALSE),"-")</f>
        <v>-</v>
      </c>
      <c r="J79" s="18" t="str">
        <f>IFERROR(VLOOKUP($B77,TABLA1!$B$14:$BF$1596,35,FALSE),"-")</f>
        <v>-</v>
      </c>
      <c r="K79" s="12" t="str">
        <f>IFERROR(VLOOKUP($B77,TABLA1!$B$14:$BF$1596,37,FALSE),"-")</f>
        <v>-</v>
      </c>
      <c r="L79" s="18" t="str">
        <f>IFERROR(VLOOKUP($B77,TABLA1!$B$14:$BF$1596,38,FALSE),"-")</f>
        <v>-</v>
      </c>
      <c r="M79" s="23" t="s">
        <v>63</v>
      </c>
      <c r="N79" s="23" t="s">
        <v>64</v>
      </c>
    </row>
    <row r="80" spans="2:14" x14ac:dyDescent="0.25">
      <c r="C80" s="90"/>
      <c r="D80" s="90"/>
      <c r="E80" s="90"/>
      <c r="F80" s="90"/>
      <c r="G80" s="12" t="str">
        <f>IF(IFERROR(VLOOKUP($B77,TABLA1!$B$14:$BF$1596,10+9,FALSE),"-")="ADELANTE","67N-1",IF(IFERROR(VLOOKUP($B77,TABLA1!$B$14:$BF$1596,10+9,FALSE),"-")="BIDIECCIONAL","51N","-"))</f>
        <v>-</v>
      </c>
      <c r="H80" s="12"/>
      <c r="I80" s="12" t="str">
        <f>IFERROR(VLOOKUP($B77,TABLA1!$B$14:$BF$1596,40,FALSE),"-")</f>
        <v>-</v>
      </c>
      <c r="J80" s="18" t="str">
        <f>IFERROR(VLOOKUP($B77,TABLA1!$B$14:$BF$1596,39,FALSE),"-")</f>
        <v>-</v>
      </c>
      <c r="K80" s="12" t="str">
        <f>IFERROR(VLOOKUP($B77,TABLA1!$B$14:$BF$1596,41,FALSE),"-")</f>
        <v>-</v>
      </c>
      <c r="L80" s="18" t="str">
        <f>IFERROR(VLOOKUP($B77,TABLA1!$B$14:$BF$1596,42,FALSE),"-")</f>
        <v>-</v>
      </c>
      <c r="M80" s="23" t="s">
        <v>63</v>
      </c>
      <c r="N80" s="23" t="s">
        <v>64</v>
      </c>
    </row>
    <row r="81" spans="2:14" x14ac:dyDescent="0.25">
      <c r="C81" s="90"/>
      <c r="D81" s="90"/>
      <c r="E81" s="90"/>
      <c r="F81" s="90"/>
      <c r="G81" s="12" t="str">
        <f>IF(IFERROR(VLOOKUP($B77,TABLA1!$B$14:$BF$1596,10+12,FALSE),"-")="ADELANTE","67N-2",IF(IFERROR(VLOOKUP($B77,TABLA1!$B$14:$BF$1596,10+12,FALSE),"-")="BIDIECCIONAL","50N/1","-"))</f>
        <v>-</v>
      </c>
      <c r="H81" s="12"/>
      <c r="I81" s="12" t="str">
        <f>IFERROR(VLOOKUP($B77,TABLA1!$B$14:$BF$1596,44,FALSE),"-")</f>
        <v>-</v>
      </c>
      <c r="J81" s="18" t="str">
        <f>IFERROR(VLOOKUP($B77,TABLA1!$B$14:$BF$1596,43,FALSE),"-")</f>
        <v>-</v>
      </c>
      <c r="K81" s="12" t="str">
        <f>IFERROR(VLOOKUP($B77,TABLA1!$B$14:$BF$1596,45,FALSE),"-")</f>
        <v>-</v>
      </c>
      <c r="L81" s="18" t="str">
        <f>IFERROR(VLOOKUP($B77,TABLA1!$B$14:$BF$1596,46,FALSE),"-")</f>
        <v>-</v>
      </c>
      <c r="M81" s="23" t="s">
        <v>63</v>
      </c>
      <c r="N81" s="23" t="s">
        <v>64</v>
      </c>
    </row>
    <row r="82" spans="2:14" x14ac:dyDescent="0.25">
      <c r="C82" s="91"/>
      <c r="D82" s="91"/>
      <c r="E82" s="91"/>
      <c r="F82" s="91"/>
      <c r="G82" s="12" t="str">
        <f>IF(IFERROR(VLOOKUP($B77,TABLA1!$B$14:$BF$1596,10+15,FALSE),"-")="ADELANTE","67N-3",IF(IFERROR(VLOOKUP($B77,TABLA1!$B$14:$BF$1596,10+15,FALSE),"-")="BIDIECCIONAL","50N-2","-"))</f>
        <v>-</v>
      </c>
      <c r="H82" s="12"/>
      <c r="I82" s="12" t="str">
        <f>IFERROR(VLOOKUP($B77,TABLA1!$B$14:$BF$1596,48,FALSE),"-")</f>
        <v>-</v>
      </c>
      <c r="J82" s="18" t="str">
        <f>IFERROR(VLOOKUP($B77,TABLA1!$B$14:$BF$1596,47,FALSE),"-")</f>
        <v>-</v>
      </c>
      <c r="K82" s="12" t="str">
        <f>IFERROR(VLOOKUP($B77,TABLA1!$B$14:$BF$1596,49,FALSE),"-")</f>
        <v>-</v>
      </c>
      <c r="L82" s="18" t="str">
        <f>IFERROR(VLOOKUP($B77,TABLA1!$B$14:$BF$1596,50,FALSE),"-")</f>
        <v>-</v>
      </c>
      <c r="M82" s="23" t="s">
        <v>63</v>
      </c>
      <c r="N82" s="23" t="s">
        <v>64</v>
      </c>
    </row>
    <row r="83" spans="2:14" x14ac:dyDescent="0.25">
      <c r="B83" s="22">
        <f>TABLA1!B27</f>
        <v>0</v>
      </c>
      <c r="C83" s="89" t="e">
        <f>VLOOKUP(B83,TABLA1!$B$14:$BF$1596,2,FALSE)</f>
        <v>#N/A</v>
      </c>
      <c r="D83" s="89" t="e">
        <f>VLOOKUP(B83,TABLA1!$B$14:$BF$1596,3,FALSE)</f>
        <v>#N/A</v>
      </c>
      <c r="E83" s="89" t="e">
        <f>VLOOKUP(B83,TABLA1!$B$14:$BF$1596,6,FALSE)&amp;"/"&amp;VLOOKUP(B83,TABLA1!$B$14:$BF$1596,7,FALSE)</f>
        <v>#N/A</v>
      </c>
      <c r="F83" s="89" t="e">
        <f>VLOOKUP(B83,TABLA1!$B$14:$BF$1596,8,FALSE)</f>
        <v>#N/A</v>
      </c>
      <c r="G83" s="54" t="str">
        <f>IF(IFERROR(VLOOKUP($B83,TABLA1!$B$14:$BF$1596,10,FALSE),"-")="ADELANTE","67-1",IF(IFERROR(VLOOKUP($B83,TABLA1!$B$14:$BF$1596,10,FALSE),"-")="BIDIECCIONAL","51","-"))</f>
        <v>-</v>
      </c>
      <c r="H83" s="54">
        <v>900</v>
      </c>
      <c r="I83" s="12" t="str">
        <f>IFERROR(VLOOKUP($B83,TABLA1!$B$14:$BF$1596,28,FALSE),"-")</f>
        <v>-</v>
      </c>
      <c r="J83" s="18" t="str">
        <f>IFERROR(VLOOKUP($B83,TABLA1!$B$14:$BF$1596,27,FALSE),"-")</f>
        <v>-</v>
      </c>
      <c r="K83" s="12" t="str">
        <f>IFERROR(VLOOKUP($B83,TABLA1!$B$14:$BF$1596,29,FALSE),"-")</f>
        <v>-</v>
      </c>
      <c r="L83" s="18" t="str">
        <f>IFERROR(VLOOKUP($B83,TABLA1!$B$14:$BF$1596,30,FALSE),"-")</f>
        <v>-</v>
      </c>
      <c r="M83" s="19"/>
      <c r="N83" s="19"/>
    </row>
    <row r="84" spans="2:14" x14ac:dyDescent="0.25">
      <c r="C84" s="90"/>
      <c r="D84" s="90"/>
      <c r="E84" s="90"/>
      <c r="F84" s="90"/>
      <c r="G84" s="12" t="str">
        <f>IF(IFERROR(VLOOKUP($B83,TABLA1!$B$14:$BF$1596,10+3,FALSE),"-")="ADELANTE","67-2",IF(IFERROR(VLOOKUP($B83,TABLA1!$B$14:$BF$1596,10+3,FALSE),"-")="BIDIECCIONAL","50-1","-"))</f>
        <v>-</v>
      </c>
      <c r="H84" s="12"/>
      <c r="I84" s="12" t="str">
        <f>IFERROR(VLOOKUP($B83,TABLA1!$B$14:$BF$1596,32,FALSE),"-")</f>
        <v>-</v>
      </c>
      <c r="J84" s="18" t="str">
        <f>IFERROR(VLOOKUP($B83,TABLA1!$B$14:$BF$1596,31,FALSE),"-")</f>
        <v>-</v>
      </c>
      <c r="K84" s="12" t="str">
        <f>IFERROR(VLOOKUP($B83,TABLA1!$B$14:$BF$1596,33,FALSE),"-")</f>
        <v>-</v>
      </c>
      <c r="L84" s="18" t="str">
        <f>IFERROR(VLOOKUP($B83,TABLA1!$B$14:$BF$1596,34,FALSE),"-")</f>
        <v>-</v>
      </c>
      <c r="M84" s="12"/>
      <c r="N84" s="12"/>
    </row>
    <row r="85" spans="2:14" x14ac:dyDescent="0.25">
      <c r="C85" s="90"/>
      <c r="D85" s="90"/>
      <c r="E85" s="90"/>
      <c r="F85" s="90"/>
      <c r="G85" s="12" t="str">
        <f>IF(IFERROR(VLOOKUP($B83,TABLA1!$B$14:$BF$1596,10+6,FALSE),"-")="ADELANTE","67-3",IF(IFERROR(VLOOKUP($B83,TABLA1!$B$14:$BF$1596,10+6,FALSE),"-")="BIDIECCIONAL","50-2","-"))</f>
        <v>-</v>
      </c>
      <c r="H85" s="12"/>
      <c r="I85" s="12" t="str">
        <f>IFERROR(VLOOKUP($B83,TABLA1!$B$14:$BF$1596,36,FALSE),"-")</f>
        <v>-</v>
      </c>
      <c r="J85" s="18" t="str">
        <f>IFERROR(VLOOKUP($B83,TABLA1!$B$14:$BF$1596,35,FALSE),"-")</f>
        <v>-</v>
      </c>
      <c r="K85" s="12" t="str">
        <f>IFERROR(VLOOKUP($B83,TABLA1!$B$14:$BF$1596,37,FALSE),"-")</f>
        <v>-</v>
      </c>
      <c r="L85" s="18" t="str">
        <f>IFERROR(VLOOKUP($B83,TABLA1!$B$14:$BF$1596,38,FALSE),"-")</f>
        <v>-</v>
      </c>
      <c r="M85" s="12"/>
      <c r="N85" s="12"/>
    </row>
    <row r="86" spans="2:14" x14ac:dyDescent="0.25">
      <c r="C86" s="90"/>
      <c r="D86" s="90"/>
      <c r="E86" s="90"/>
      <c r="F86" s="90"/>
      <c r="G86" s="12" t="str">
        <f>IF(IFERROR(VLOOKUP($B83,TABLA1!$B$14:$BF$1596,10+9,FALSE),"-")="ADELANTE","67N-1",IF(IFERROR(VLOOKUP($B83,TABLA1!$B$14:$BF$1596,10+9,FALSE),"-")="BIDIECCIONAL","51N","-"))</f>
        <v>-</v>
      </c>
      <c r="H86" s="12"/>
      <c r="I86" s="12" t="str">
        <f>IFERROR(VLOOKUP($B83,TABLA1!$B$14:$BF$1596,40,FALSE),"-")</f>
        <v>-</v>
      </c>
      <c r="J86" s="18" t="str">
        <f>IFERROR(VLOOKUP($B83,TABLA1!$B$14:$BF$1596,39,FALSE),"-")</f>
        <v>-</v>
      </c>
      <c r="K86" s="12" t="str">
        <f>IFERROR(VLOOKUP($B83,TABLA1!$B$14:$BF$1596,41,FALSE),"-")</f>
        <v>-</v>
      </c>
      <c r="L86" s="18" t="str">
        <f>IFERROR(VLOOKUP($B83,TABLA1!$B$14:$BF$1596,42,FALSE),"-")</f>
        <v>-</v>
      </c>
      <c r="M86" s="12"/>
      <c r="N86" s="12"/>
    </row>
    <row r="87" spans="2:14" x14ac:dyDescent="0.25">
      <c r="C87" s="90"/>
      <c r="D87" s="90"/>
      <c r="E87" s="90"/>
      <c r="F87" s="90"/>
      <c r="G87" s="12" t="str">
        <f>IF(IFERROR(VLOOKUP($B83,TABLA1!$B$14:$BF$1596,10+12,FALSE),"-")="ADELANTE","67N-2",IF(IFERROR(VLOOKUP($B83,TABLA1!$B$14:$BF$1596,10+12,FALSE),"-")="BIDIECCIONAL","50N/1","-"))</f>
        <v>-</v>
      </c>
      <c r="H87" s="12"/>
      <c r="I87" s="12" t="str">
        <f>IFERROR(VLOOKUP($B83,TABLA1!$B$14:$BF$1596,44,FALSE),"-")</f>
        <v>-</v>
      </c>
      <c r="J87" s="18" t="str">
        <f>IFERROR(VLOOKUP($B83,TABLA1!$B$14:$BF$1596,43,FALSE),"-")</f>
        <v>-</v>
      </c>
      <c r="K87" s="12" t="str">
        <f>IFERROR(VLOOKUP($B83,TABLA1!$B$14:$BF$1596,45,FALSE),"-")</f>
        <v>-</v>
      </c>
      <c r="L87" s="18" t="str">
        <f>IFERROR(VLOOKUP($B83,TABLA1!$B$14:$BF$1596,46,FALSE),"-")</f>
        <v>-</v>
      </c>
      <c r="M87" s="12"/>
      <c r="N87" s="12"/>
    </row>
    <row r="88" spans="2:14" x14ac:dyDescent="0.25">
      <c r="C88" s="91"/>
      <c r="D88" s="91"/>
      <c r="E88" s="91"/>
      <c r="F88" s="91"/>
      <c r="G88" s="12" t="str">
        <f>IF(IFERROR(VLOOKUP($B83,TABLA1!$B$14:$BF$1596,10+15,FALSE),"-")="ADELANTE","67N-3",IF(IFERROR(VLOOKUP($B83,TABLA1!$B$14:$BF$1596,10+15,FALSE),"-")="BIDIECCIONAL","50N-2","-"))</f>
        <v>-</v>
      </c>
      <c r="H88" s="12"/>
      <c r="I88" s="12" t="str">
        <f>IFERROR(VLOOKUP($B83,TABLA1!$B$14:$BF$1596,48,FALSE),"-")</f>
        <v>-</v>
      </c>
      <c r="J88" s="18" t="str">
        <f>IFERROR(VLOOKUP($B83,TABLA1!$B$14:$BF$1596,47,FALSE),"-")</f>
        <v>-</v>
      </c>
      <c r="K88" s="12" t="str">
        <f>IFERROR(VLOOKUP($B83,TABLA1!$B$14:$BF$1596,49,FALSE),"-")</f>
        <v>-</v>
      </c>
      <c r="L88" s="18" t="str">
        <f>IFERROR(VLOOKUP($B83,TABLA1!$B$14:$BF$1596,50,FALSE),"-")</f>
        <v>-</v>
      </c>
      <c r="M88" s="12"/>
      <c r="N88" s="12"/>
    </row>
    <row r="89" spans="2:14" x14ac:dyDescent="0.25">
      <c r="B89" s="22">
        <f>TABLA1!B28</f>
        <v>0</v>
      </c>
      <c r="C89" s="89" t="e">
        <f>VLOOKUP(B89,TABLA1!$B$14:$BF$1596,2,FALSE)</f>
        <v>#N/A</v>
      </c>
      <c r="D89" s="89" t="e">
        <f>VLOOKUP(B89,TABLA1!$B$14:$BF$1596,3,FALSE)</f>
        <v>#N/A</v>
      </c>
      <c r="E89" s="89" t="e">
        <f>VLOOKUP(B89,TABLA1!$B$14:$BF$1596,6,FALSE)&amp;"/"&amp;VLOOKUP(B89,TABLA1!$B$14:$BF$1596,7,FALSE)</f>
        <v>#N/A</v>
      </c>
      <c r="F89" s="89" t="e">
        <f>VLOOKUP(B89,TABLA1!$B$14:$BF$1596,8,FALSE)</f>
        <v>#N/A</v>
      </c>
      <c r="G89" s="54" t="str">
        <f>IF(IFERROR(VLOOKUP($B89,TABLA1!$B$14:$BF$1596,10,FALSE),"-")="ADELANTE","67-1",IF(IFERROR(VLOOKUP($B89,TABLA1!$B$14:$BF$1596,10,FALSE),"-")="BIDIECCIONAL","51","-"))</f>
        <v>-</v>
      </c>
      <c r="H89" s="54">
        <v>900</v>
      </c>
      <c r="I89" s="12" t="str">
        <f>IFERROR(VLOOKUP($B89,TABLA1!$B$14:$BF$1596,28,FALSE),"-")</f>
        <v>-</v>
      </c>
      <c r="J89" s="18" t="str">
        <f>IFERROR(VLOOKUP($B89,TABLA1!$B$14:$BF$1596,27,FALSE),"-")</f>
        <v>-</v>
      </c>
      <c r="K89" s="12" t="str">
        <f>IFERROR(VLOOKUP($B89,TABLA1!$B$14:$BF$1596,29,FALSE),"-")</f>
        <v>-</v>
      </c>
      <c r="L89" s="18" t="str">
        <f>IFERROR(VLOOKUP($B89,TABLA1!$B$14:$BF$1596,30,FALSE),"-")</f>
        <v>-</v>
      </c>
      <c r="M89" s="19"/>
      <c r="N89" s="19"/>
    </row>
    <row r="90" spans="2:14" x14ac:dyDescent="0.25">
      <c r="C90" s="90"/>
      <c r="D90" s="90"/>
      <c r="E90" s="90"/>
      <c r="F90" s="90"/>
      <c r="G90" s="12" t="str">
        <f>IF(IFERROR(VLOOKUP($B89,TABLA1!$B$14:$BF$1596,10+3,FALSE),"-")="ADELANTE","67-2",IF(IFERROR(VLOOKUP($B89,TABLA1!$B$14:$BF$1596,10+3,FALSE),"-")="BIDIECCIONAL","50-1","-"))</f>
        <v>-</v>
      </c>
      <c r="H90" s="12"/>
      <c r="I90" s="12" t="str">
        <f>IFERROR(VLOOKUP($B89,TABLA1!$B$14:$BF$1596,32,FALSE),"-")</f>
        <v>-</v>
      </c>
      <c r="J90" s="18" t="str">
        <f>IFERROR(VLOOKUP($B89,TABLA1!$B$14:$BF$1596,31,FALSE),"-")</f>
        <v>-</v>
      </c>
      <c r="K90" s="12" t="str">
        <f>IFERROR(VLOOKUP($B89,TABLA1!$B$14:$BF$1596,33,FALSE),"-")</f>
        <v>-</v>
      </c>
      <c r="L90" s="18" t="str">
        <f>IFERROR(VLOOKUP($B89,TABLA1!$B$14:$BF$1596,34,FALSE),"-")</f>
        <v>-</v>
      </c>
      <c r="M90" s="12"/>
      <c r="N90" s="12"/>
    </row>
    <row r="91" spans="2:14" x14ac:dyDescent="0.25">
      <c r="C91" s="90"/>
      <c r="D91" s="90"/>
      <c r="E91" s="90"/>
      <c r="F91" s="90"/>
      <c r="G91" s="12" t="str">
        <f>IF(IFERROR(VLOOKUP($B89,TABLA1!$B$14:$BF$1596,10+6,FALSE),"-")="ADELANTE","67-3",IF(IFERROR(VLOOKUP($B89,TABLA1!$B$14:$BF$1596,10+6,FALSE),"-")="BIDIECCIONAL","50-2","-"))</f>
        <v>-</v>
      </c>
      <c r="H91" s="12"/>
      <c r="I91" s="12" t="str">
        <f>IFERROR(VLOOKUP($B89,TABLA1!$B$14:$BF$1596,36,FALSE),"-")</f>
        <v>-</v>
      </c>
      <c r="J91" s="18" t="str">
        <f>IFERROR(VLOOKUP($B89,TABLA1!$B$14:$BF$1596,35,FALSE),"-")</f>
        <v>-</v>
      </c>
      <c r="K91" s="12" t="str">
        <f>IFERROR(VLOOKUP($B89,TABLA1!$B$14:$BF$1596,37,FALSE),"-")</f>
        <v>-</v>
      </c>
      <c r="L91" s="18" t="str">
        <f>IFERROR(VLOOKUP($B89,TABLA1!$B$14:$BF$1596,38,FALSE),"-")</f>
        <v>-</v>
      </c>
      <c r="M91" s="12"/>
      <c r="N91" s="12"/>
    </row>
    <row r="92" spans="2:14" x14ac:dyDescent="0.25">
      <c r="C92" s="90"/>
      <c r="D92" s="90"/>
      <c r="E92" s="90"/>
      <c r="F92" s="90"/>
      <c r="G92" s="12" t="str">
        <f>IF(IFERROR(VLOOKUP($B89,TABLA1!$B$14:$BF$1596,10+9,FALSE),"-")="ADELANTE","67N-1",IF(IFERROR(VLOOKUP($B89,TABLA1!$B$14:$BF$1596,10+9,FALSE),"-")="BIDIECCIONAL","51N","-"))</f>
        <v>-</v>
      </c>
      <c r="H92" s="12"/>
      <c r="I92" s="12" t="str">
        <f>IFERROR(VLOOKUP($B89,TABLA1!$B$14:$BF$1596,40,FALSE),"-")</f>
        <v>-</v>
      </c>
      <c r="J92" s="18" t="str">
        <f>IFERROR(VLOOKUP($B89,TABLA1!$B$14:$BF$1596,39,FALSE),"-")</f>
        <v>-</v>
      </c>
      <c r="K92" s="12" t="str">
        <f>IFERROR(VLOOKUP($B89,TABLA1!$B$14:$BF$1596,41,FALSE),"-")</f>
        <v>-</v>
      </c>
      <c r="L92" s="18" t="str">
        <f>IFERROR(VLOOKUP($B89,TABLA1!$B$14:$BF$1596,42,FALSE),"-")</f>
        <v>-</v>
      </c>
      <c r="M92" s="12"/>
      <c r="N92" s="12"/>
    </row>
    <row r="93" spans="2:14" x14ac:dyDescent="0.25">
      <c r="C93" s="90"/>
      <c r="D93" s="90"/>
      <c r="E93" s="90"/>
      <c r="F93" s="90"/>
      <c r="G93" s="12" t="str">
        <f>IF(IFERROR(VLOOKUP($B89,TABLA1!$B$14:$BF$1596,10+12,FALSE),"-")="ADELANTE","67N-2",IF(IFERROR(VLOOKUP($B89,TABLA1!$B$14:$BF$1596,10+12,FALSE),"-")="BIDIECCIONAL","50N/1","-"))</f>
        <v>-</v>
      </c>
      <c r="H93" s="12"/>
      <c r="I93" s="12" t="str">
        <f>IFERROR(VLOOKUP($B89,TABLA1!$B$14:$BF$1596,44,FALSE),"-")</f>
        <v>-</v>
      </c>
      <c r="J93" s="18" t="str">
        <f>IFERROR(VLOOKUP($B89,TABLA1!$B$14:$BF$1596,43,FALSE),"-")</f>
        <v>-</v>
      </c>
      <c r="K93" s="12" t="str">
        <f>IFERROR(VLOOKUP($B89,TABLA1!$B$14:$BF$1596,45,FALSE),"-")</f>
        <v>-</v>
      </c>
      <c r="L93" s="18" t="str">
        <f>IFERROR(VLOOKUP($B89,TABLA1!$B$14:$BF$1596,46,FALSE),"-")</f>
        <v>-</v>
      </c>
      <c r="M93" s="12"/>
      <c r="N93" s="12"/>
    </row>
    <row r="94" spans="2:14" x14ac:dyDescent="0.25">
      <c r="C94" s="91"/>
      <c r="D94" s="91"/>
      <c r="E94" s="91"/>
      <c r="F94" s="91"/>
      <c r="G94" s="12" t="str">
        <f>IF(IFERROR(VLOOKUP($B89,TABLA1!$B$14:$BF$1596,10+15,FALSE),"-")="ADELANTE","67N-3",IF(IFERROR(VLOOKUP($B89,TABLA1!$B$14:$BF$1596,10+15,FALSE),"-")="BIDIECCIONAL","50N-2","-"))</f>
        <v>-</v>
      </c>
      <c r="H94" s="12"/>
      <c r="I94" s="12" t="str">
        <f>IFERROR(VLOOKUP($B89,TABLA1!$B$14:$BF$1596,48,FALSE),"-")</f>
        <v>-</v>
      </c>
      <c r="J94" s="18" t="str">
        <f>IFERROR(VLOOKUP($B89,TABLA1!$B$14:$BF$1596,47,FALSE),"-")</f>
        <v>-</v>
      </c>
      <c r="K94" s="12" t="str">
        <f>IFERROR(VLOOKUP($B89,TABLA1!$B$14:$BF$1596,49,FALSE),"-")</f>
        <v>-</v>
      </c>
      <c r="L94" s="18" t="str">
        <f>IFERROR(VLOOKUP($B89,TABLA1!$B$14:$BF$1596,50,FALSE),"-")</f>
        <v>-</v>
      </c>
      <c r="M94" s="12"/>
      <c r="N94" s="12"/>
    </row>
    <row r="95" spans="2:14" x14ac:dyDescent="0.25">
      <c r="B95" s="22">
        <f>TABLA1!B29</f>
        <v>0</v>
      </c>
      <c r="C95" s="89" t="e">
        <f>VLOOKUP(B95,TABLA1!$B$14:$BF$1596,2,FALSE)</f>
        <v>#N/A</v>
      </c>
      <c r="D95" s="89" t="e">
        <f>VLOOKUP(B95,TABLA1!$B$14:$BF$1596,3,FALSE)</f>
        <v>#N/A</v>
      </c>
      <c r="E95" s="89" t="e">
        <f>VLOOKUP(B95,TABLA1!$B$14:$BF$1596,6,FALSE)&amp;"/"&amp;VLOOKUP(B95,TABLA1!$B$14:$BF$1596,7,FALSE)</f>
        <v>#N/A</v>
      </c>
      <c r="F95" s="89" t="e">
        <f>VLOOKUP(B95,TABLA1!$B$14:$BF$1596,8,FALSE)</f>
        <v>#N/A</v>
      </c>
      <c r="G95" s="54" t="str">
        <f>IF(IFERROR(VLOOKUP($B95,TABLA1!$B$14:$BF$1596,10,FALSE),"-")="ADELANTE","67-1",IF(IFERROR(VLOOKUP($B95,TABLA1!$B$14:$BF$1596,10,FALSE),"-")="BIDIECCIONAL","51","-"))</f>
        <v>-</v>
      </c>
      <c r="H95" s="54">
        <v>900</v>
      </c>
      <c r="I95" s="12" t="str">
        <f>IFERROR(VLOOKUP($B95,TABLA1!$B$14:$BF$1596,28,FALSE),"-")</f>
        <v>-</v>
      </c>
      <c r="J95" s="18" t="str">
        <f>IFERROR(VLOOKUP($B95,TABLA1!$B$14:$BF$1596,27,FALSE),"-")</f>
        <v>-</v>
      </c>
      <c r="K95" s="12" t="str">
        <f>IFERROR(VLOOKUP($B95,TABLA1!$B$14:$BF$1596,29,FALSE),"-")</f>
        <v>-</v>
      </c>
      <c r="L95" s="18" t="str">
        <f>IFERROR(VLOOKUP($B95,TABLA1!$B$14:$BF$1596,30,FALSE),"-")</f>
        <v>-</v>
      </c>
      <c r="M95" s="19"/>
      <c r="N95" s="19"/>
    </row>
    <row r="96" spans="2:14" x14ac:dyDescent="0.25">
      <c r="C96" s="90"/>
      <c r="D96" s="90"/>
      <c r="E96" s="90"/>
      <c r="F96" s="90"/>
      <c r="G96" s="12" t="str">
        <f>IF(IFERROR(VLOOKUP($B95,TABLA1!$B$14:$BF$1596,10+3,FALSE),"-")="ADELANTE","67-2",IF(IFERROR(VLOOKUP($B95,TABLA1!$B$14:$BF$1596,10+3,FALSE),"-")="BIDIECCIONAL","50-1","-"))</f>
        <v>-</v>
      </c>
      <c r="H96" s="12"/>
      <c r="I96" s="12" t="str">
        <f>IFERROR(VLOOKUP($B95,TABLA1!$B$14:$BF$1596,32,FALSE),"-")</f>
        <v>-</v>
      </c>
      <c r="J96" s="18" t="str">
        <f>IFERROR(VLOOKUP($B95,TABLA1!$B$14:$BF$1596,31,FALSE),"-")</f>
        <v>-</v>
      </c>
      <c r="K96" s="12" t="str">
        <f>IFERROR(VLOOKUP($B95,TABLA1!$B$14:$BF$1596,33,FALSE),"-")</f>
        <v>-</v>
      </c>
      <c r="L96" s="18" t="str">
        <f>IFERROR(VLOOKUP($B95,TABLA1!$B$14:$BF$1596,34,FALSE),"-")</f>
        <v>-</v>
      </c>
      <c r="M96" s="12"/>
      <c r="N96" s="12"/>
    </row>
    <row r="97" spans="2:14" x14ac:dyDescent="0.25">
      <c r="C97" s="90"/>
      <c r="D97" s="90"/>
      <c r="E97" s="90"/>
      <c r="F97" s="90"/>
      <c r="G97" s="12" t="str">
        <f>IF(IFERROR(VLOOKUP($B95,TABLA1!$B$14:$BF$1596,10+6,FALSE),"-")="ADELANTE","67-3",IF(IFERROR(VLOOKUP($B95,TABLA1!$B$14:$BF$1596,10+6,FALSE),"-")="BIDIECCIONAL","50-2","-"))</f>
        <v>-</v>
      </c>
      <c r="H97" s="12"/>
      <c r="I97" s="12" t="str">
        <f>IFERROR(VLOOKUP($B95,TABLA1!$B$14:$BF$1596,36,FALSE),"-")</f>
        <v>-</v>
      </c>
      <c r="J97" s="18" t="str">
        <f>IFERROR(VLOOKUP($B95,TABLA1!$B$14:$BF$1596,35,FALSE),"-")</f>
        <v>-</v>
      </c>
      <c r="K97" s="12" t="str">
        <f>IFERROR(VLOOKUP($B95,TABLA1!$B$14:$BF$1596,37,FALSE),"-")</f>
        <v>-</v>
      </c>
      <c r="L97" s="18" t="str">
        <f>IFERROR(VLOOKUP($B95,TABLA1!$B$14:$BF$1596,38,FALSE),"-")</f>
        <v>-</v>
      </c>
      <c r="M97" s="12"/>
      <c r="N97" s="12"/>
    </row>
    <row r="98" spans="2:14" x14ac:dyDescent="0.25">
      <c r="C98" s="90"/>
      <c r="D98" s="90"/>
      <c r="E98" s="90"/>
      <c r="F98" s="90"/>
      <c r="G98" s="12" t="str">
        <f>IF(IFERROR(VLOOKUP($B95,TABLA1!$B$14:$BF$1596,10+9,FALSE),"-")="ADELANTE","67N-1",IF(IFERROR(VLOOKUP($B95,TABLA1!$B$14:$BF$1596,10+9,FALSE),"-")="BIDIECCIONAL","51N","-"))</f>
        <v>-</v>
      </c>
      <c r="H98" s="12"/>
      <c r="I98" s="12" t="str">
        <f>IFERROR(VLOOKUP($B95,TABLA1!$B$14:$BF$1596,40,FALSE),"-")</f>
        <v>-</v>
      </c>
      <c r="J98" s="18" t="str">
        <f>IFERROR(VLOOKUP($B95,TABLA1!$B$14:$BF$1596,39,FALSE),"-")</f>
        <v>-</v>
      </c>
      <c r="K98" s="12" t="str">
        <f>IFERROR(VLOOKUP($B95,TABLA1!$B$14:$BF$1596,41,FALSE),"-")</f>
        <v>-</v>
      </c>
      <c r="L98" s="18" t="str">
        <f>IFERROR(VLOOKUP($B95,TABLA1!$B$14:$BF$1596,42,FALSE),"-")</f>
        <v>-</v>
      </c>
      <c r="M98" s="12"/>
      <c r="N98" s="12"/>
    </row>
    <row r="99" spans="2:14" x14ac:dyDescent="0.25">
      <c r="C99" s="90"/>
      <c r="D99" s="90"/>
      <c r="E99" s="90"/>
      <c r="F99" s="90"/>
      <c r="G99" s="12" t="str">
        <f>IF(IFERROR(VLOOKUP($B95,TABLA1!$B$14:$BF$1596,10+12,FALSE),"-")="ADELANTE","67N-2",IF(IFERROR(VLOOKUP($B95,TABLA1!$B$14:$BF$1596,10+12,FALSE),"-")="BIDIECCIONAL","50N/1","-"))</f>
        <v>-</v>
      </c>
      <c r="H99" s="12"/>
      <c r="I99" s="12" t="str">
        <f>IFERROR(VLOOKUP($B95,TABLA1!$B$14:$BF$1596,44,FALSE),"-")</f>
        <v>-</v>
      </c>
      <c r="J99" s="18" t="str">
        <f>IFERROR(VLOOKUP($B95,TABLA1!$B$14:$BF$1596,43,FALSE),"-")</f>
        <v>-</v>
      </c>
      <c r="K99" s="12" t="str">
        <f>IFERROR(VLOOKUP($B95,TABLA1!$B$14:$BF$1596,45,FALSE),"-")</f>
        <v>-</v>
      </c>
      <c r="L99" s="18" t="str">
        <f>IFERROR(VLOOKUP($B95,TABLA1!$B$14:$BF$1596,46,FALSE),"-")</f>
        <v>-</v>
      </c>
      <c r="M99" s="12"/>
      <c r="N99" s="12"/>
    </row>
    <row r="100" spans="2:14" x14ac:dyDescent="0.25">
      <c r="C100" s="91"/>
      <c r="D100" s="91"/>
      <c r="E100" s="91"/>
      <c r="F100" s="91"/>
      <c r="G100" s="12" t="str">
        <f>IF(IFERROR(VLOOKUP($B95,TABLA1!$B$14:$BF$1596,10+15,FALSE),"-")="ADELANTE","67N-3",IF(IFERROR(VLOOKUP($B95,TABLA1!$B$14:$BF$1596,10+15,FALSE),"-")="BIDIECCIONAL","50N-2","-"))</f>
        <v>-</v>
      </c>
      <c r="H100" s="12"/>
      <c r="I100" s="12" t="str">
        <f>IFERROR(VLOOKUP($B95,TABLA1!$B$14:$BF$1596,48,FALSE),"-")</f>
        <v>-</v>
      </c>
      <c r="J100" s="18" t="str">
        <f>IFERROR(VLOOKUP($B95,TABLA1!$B$14:$BF$1596,47,FALSE),"-")</f>
        <v>-</v>
      </c>
      <c r="K100" s="12" t="str">
        <f>IFERROR(VLOOKUP($B95,TABLA1!$B$14:$BF$1596,49,FALSE),"-")</f>
        <v>-</v>
      </c>
      <c r="L100" s="18" t="str">
        <f>IFERROR(VLOOKUP($B95,TABLA1!$B$14:$BF$1596,50,FALSE),"-")</f>
        <v>-</v>
      </c>
      <c r="M100" s="12"/>
      <c r="N100" s="12"/>
    </row>
    <row r="101" spans="2:14" x14ac:dyDescent="0.25">
      <c r="B101" s="22">
        <f>TABLA1!B30</f>
        <v>0</v>
      </c>
      <c r="C101" s="89" t="e">
        <f>VLOOKUP(B101,TABLA1!$B$14:$BF$1596,2,FALSE)</f>
        <v>#N/A</v>
      </c>
      <c r="D101" s="89" t="e">
        <f>VLOOKUP(B101,TABLA1!$B$14:$BF$1596,3,FALSE)</f>
        <v>#N/A</v>
      </c>
      <c r="E101" s="89" t="e">
        <f>VLOOKUP(B101,TABLA1!$B$14:$BF$1596,6,FALSE)&amp;"/"&amp;VLOOKUP(B101,TABLA1!$B$14:$BF$1596,7,FALSE)</f>
        <v>#N/A</v>
      </c>
      <c r="F101" s="89" t="e">
        <f>VLOOKUP(B101,TABLA1!$B$14:$BF$1596,8,FALSE)</f>
        <v>#N/A</v>
      </c>
      <c r="G101" s="54" t="str">
        <f>IF(IFERROR(VLOOKUP($B101,TABLA1!$B$14:$BF$1596,10,FALSE),"-")="ADELANTE","67-1",IF(IFERROR(VLOOKUP($B101,TABLA1!$B$14:$BF$1596,10,FALSE),"-")="BIDIECCIONAL","51","-"))</f>
        <v>-</v>
      </c>
      <c r="H101" s="54">
        <v>900</v>
      </c>
      <c r="I101" s="12" t="str">
        <f>IFERROR(VLOOKUP($B101,TABLA1!$B$14:$BF$1596,28,FALSE),"-")</f>
        <v>-</v>
      </c>
      <c r="J101" s="18" t="str">
        <f>IFERROR(VLOOKUP($B101,TABLA1!$B$14:$BF$1596,27,FALSE),"-")</f>
        <v>-</v>
      </c>
      <c r="K101" s="12" t="str">
        <f>IFERROR(VLOOKUP($B101,TABLA1!$B$14:$BF$1596,29,FALSE),"-")</f>
        <v>-</v>
      </c>
      <c r="L101" s="18" t="str">
        <f>IFERROR(VLOOKUP($B101,TABLA1!$B$14:$BF$1596,30,FALSE),"-")</f>
        <v>-</v>
      </c>
      <c r="M101" s="19"/>
      <c r="N101" s="19"/>
    </row>
    <row r="102" spans="2:14" x14ac:dyDescent="0.25">
      <c r="C102" s="90"/>
      <c r="D102" s="90"/>
      <c r="E102" s="90"/>
      <c r="F102" s="90"/>
      <c r="G102" s="12" t="str">
        <f>IF(IFERROR(VLOOKUP($B101,TABLA1!$B$14:$BF$1596,10+3,FALSE),"-")="ADELANTE","67-2",IF(IFERROR(VLOOKUP($B101,TABLA1!$B$14:$BF$1596,10+3,FALSE),"-")="BIDIECCIONAL","50-1","-"))</f>
        <v>-</v>
      </c>
      <c r="H102" s="12"/>
      <c r="I102" s="12" t="str">
        <f>IFERROR(VLOOKUP($B101,TABLA1!$B$14:$BF$1596,32,FALSE),"-")</f>
        <v>-</v>
      </c>
      <c r="J102" s="18" t="str">
        <f>IFERROR(VLOOKUP($B101,TABLA1!$B$14:$BF$1596,31,FALSE),"-")</f>
        <v>-</v>
      </c>
      <c r="K102" s="12" t="str">
        <f>IFERROR(VLOOKUP($B101,TABLA1!$B$14:$BF$1596,33,FALSE),"-")</f>
        <v>-</v>
      </c>
      <c r="L102" s="18" t="str">
        <f>IFERROR(VLOOKUP($B101,TABLA1!$B$14:$BF$1596,34,FALSE),"-")</f>
        <v>-</v>
      </c>
      <c r="M102" s="12"/>
      <c r="N102" s="12"/>
    </row>
    <row r="103" spans="2:14" x14ac:dyDescent="0.25">
      <c r="C103" s="90"/>
      <c r="D103" s="90"/>
      <c r="E103" s="90"/>
      <c r="F103" s="90"/>
      <c r="G103" s="12" t="str">
        <f>IF(IFERROR(VLOOKUP($B101,TABLA1!$B$14:$BF$1596,10+6,FALSE),"-")="ADELANTE","67-3",IF(IFERROR(VLOOKUP($B101,TABLA1!$B$14:$BF$1596,10+6,FALSE),"-")="BIDIECCIONAL","50-2","-"))</f>
        <v>-</v>
      </c>
      <c r="H103" s="12"/>
      <c r="I103" s="12" t="str">
        <f>IFERROR(VLOOKUP($B101,TABLA1!$B$14:$BF$1596,36,FALSE),"-")</f>
        <v>-</v>
      </c>
      <c r="J103" s="18" t="str">
        <f>IFERROR(VLOOKUP($B101,TABLA1!$B$14:$BF$1596,35,FALSE),"-")</f>
        <v>-</v>
      </c>
      <c r="K103" s="12" t="str">
        <f>IFERROR(VLOOKUP($B101,TABLA1!$B$14:$BF$1596,37,FALSE),"-")</f>
        <v>-</v>
      </c>
      <c r="L103" s="18" t="str">
        <f>IFERROR(VLOOKUP($B101,TABLA1!$B$14:$BF$1596,38,FALSE),"-")</f>
        <v>-</v>
      </c>
      <c r="M103" s="12"/>
      <c r="N103" s="12"/>
    </row>
    <row r="104" spans="2:14" x14ac:dyDescent="0.25">
      <c r="C104" s="90"/>
      <c r="D104" s="90"/>
      <c r="E104" s="90"/>
      <c r="F104" s="90"/>
      <c r="G104" s="12" t="str">
        <f>IF(IFERROR(VLOOKUP($B101,TABLA1!$B$14:$BF$1596,10+9,FALSE),"-")="ADELANTE","67N-1",IF(IFERROR(VLOOKUP($B101,TABLA1!$B$14:$BF$1596,10+9,FALSE),"-")="BIDIECCIONAL","51N","-"))</f>
        <v>-</v>
      </c>
      <c r="H104" s="12"/>
      <c r="I104" s="12" t="str">
        <f>IFERROR(VLOOKUP($B101,TABLA1!$B$14:$BF$1596,40,FALSE),"-")</f>
        <v>-</v>
      </c>
      <c r="J104" s="18" t="str">
        <f>IFERROR(VLOOKUP($B101,TABLA1!$B$14:$BF$1596,39,FALSE),"-")</f>
        <v>-</v>
      </c>
      <c r="K104" s="12" t="str">
        <f>IFERROR(VLOOKUP($B101,TABLA1!$B$14:$BF$1596,41,FALSE),"-")</f>
        <v>-</v>
      </c>
      <c r="L104" s="18" t="str">
        <f>IFERROR(VLOOKUP($B101,TABLA1!$B$14:$BF$1596,42,FALSE),"-")</f>
        <v>-</v>
      </c>
      <c r="M104" s="12"/>
      <c r="N104" s="12"/>
    </row>
    <row r="105" spans="2:14" x14ac:dyDescent="0.25">
      <c r="C105" s="90"/>
      <c r="D105" s="90"/>
      <c r="E105" s="90"/>
      <c r="F105" s="90"/>
      <c r="G105" s="12" t="str">
        <f>IF(IFERROR(VLOOKUP($B101,TABLA1!$B$14:$BF$1596,10+12,FALSE),"-")="ADELANTE","67N-2",IF(IFERROR(VLOOKUP($B101,TABLA1!$B$14:$BF$1596,10+12,FALSE),"-")="BIDIECCIONAL","50N/1","-"))</f>
        <v>-</v>
      </c>
      <c r="H105" s="12"/>
      <c r="I105" s="12" t="str">
        <f>IFERROR(VLOOKUP($B101,TABLA1!$B$14:$BF$1596,44,FALSE),"-")</f>
        <v>-</v>
      </c>
      <c r="J105" s="18" t="str">
        <f>IFERROR(VLOOKUP($B101,TABLA1!$B$14:$BF$1596,43,FALSE),"-")</f>
        <v>-</v>
      </c>
      <c r="K105" s="12" t="str">
        <f>IFERROR(VLOOKUP($B101,TABLA1!$B$14:$BF$1596,45,FALSE),"-")</f>
        <v>-</v>
      </c>
      <c r="L105" s="18" t="str">
        <f>IFERROR(VLOOKUP($B101,TABLA1!$B$14:$BF$1596,46,FALSE),"-")</f>
        <v>-</v>
      </c>
      <c r="M105" s="12"/>
      <c r="N105" s="12"/>
    </row>
    <row r="106" spans="2:14" x14ac:dyDescent="0.25">
      <c r="C106" s="91"/>
      <c r="D106" s="91"/>
      <c r="E106" s="91"/>
      <c r="F106" s="91"/>
      <c r="G106" s="12" t="str">
        <f>IF(IFERROR(VLOOKUP($B101,TABLA1!$B$14:$BF$1596,10+15,FALSE),"-")="ADELANTE","67N-3",IF(IFERROR(VLOOKUP($B101,TABLA1!$B$14:$BF$1596,10+15,FALSE),"-")="BIDIECCIONAL","50N-2","-"))</f>
        <v>-</v>
      </c>
      <c r="H106" s="12"/>
      <c r="I106" s="12" t="str">
        <f>IFERROR(VLOOKUP($B101,TABLA1!$B$14:$BF$1596,48,FALSE),"-")</f>
        <v>-</v>
      </c>
      <c r="J106" s="18" t="str">
        <f>IFERROR(VLOOKUP($B101,TABLA1!$B$14:$BF$1596,47,FALSE),"-")</f>
        <v>-</v>
      </c>
      <c r="K106" s="12" t="str">
        <f>IFERROR(VLOOKUP($B101,TABLA1!$B$14:$BF$1596,49,FALSE),"-")</f>
        <v>-</v>
      </c>
      <c r="L106" s="18" t="str">
        <f>IFERROR(VLOOKUP($B101,TABLA1!$B$14:$BF$1596,50,FALSE),"-")</f>
        <v>-</v>
      </c>
      <c r="M106" s="12"/>
      <c r="N106" s="12"/>
    </row>
    <row r="107" spans="2:14" x14ac:dyDescent="0.25">
      <c r="B107" s="22">
        <f>TABLA1!B31</f>
        <v>0</v>
      </c>
      <c r="C107" s="89" t="e">
        <f>VLOOKUP(B107,TABLA1!$B$14:$BF$1596,2,FALSE)</f>
        <v>#N/A</v>
      </c>
      <c r="D107" s="89" t="e">
        <f>VLOOKUP(B107,TABLA1!$B$14:$BF$1596,3,FALSE)</f>
        <v>#N/A</v>
      </c>
      <c r="E107" s="89" t="e">
        <f>VLOOKUP(B107,TABLA1!$B$14:$BF$1596,6,FALSE)&amp;"/"&amp;VLOOKUP(B107,TABLA1!$B$14:$BF$1596,7,FALSE)</f>
        <v>#N/A</v>
      </c>
      <c r="F107" s="89" t="e">
        <f>VLOOKUP(B107,TABLA1!$B$14:$BF$1596,8,FALSE)</f>
        <v>#N/A</v>
      </c>
      <c r="G107" s="54" t="str">
        <f>IF(IFERROR(VLOOKUP($B107,TABLA1!$B$14:$BF$1596,10,FALSE),"-")="ADELANTE","67-1",IF(IFERROR(VLOOKUP($B107,TABLA1!$B$14:$BF$1596,10,FALSE),"-")="BIDIECCIONAL","51","-"))</f>
        <v>-</v>
      </c>
      <c r="H107" s="54">
        <v>900</v>
      </c>
      <c r="I107" s="12" t="str">
        <f>IFERROR(VLOOKUP($B107,TABLA1!$B$14:$BF$1596,28,FALSE),"-")</f>
        <v>-</v>
      </c>
      <c r="J107" s="18" t="str">
        <f>IFERROR(VLOOKUP($B107,TABLA1!$B$14:$BF$1596,27,FALSE),"-")</f>
        <v>-</v>
      </c>
      <c r="K107" s="12" t="str">
        <f>IFERROR(VLOOKUP($B107,TABLA1!$B$14:$BF$1596,29,FALSE),"-")</f>
        <v>-</v>
      </c>
      <c r="L107" s="18" t="str">
        <f>IFERROR(VLOOKUP($B107,TABLA1!$B$14:$BF$1596,30,FALSE),"-")</f>
        <v>-</v>
      </c>
      <c r="M107" s="19"/>
      <c r="N107" s="19"/>
    </row>
    <row r="108" spans="2:14" x14ac:dyDescent="0.25">
      <c r="C108" s="90"/>
      <c r="D108" s="90"/>
      <c r="E108" s="90"/>
      <c r="F108" s="90"/>
      <c r="G108" s="12" t="str">
        <f>IF(IFERROR(VLOOKUP($B107,TABLA1!$B$14:$BF$1596,10+3,FALSE),"-")="ADELANTE","67-2",IF(IFERROR(VLOOKUP($B107,TABLA1!$B$14:$BF$1596,10+3,FALSE),"-")="BIDIECCIONAL","50-1","-"))</f>
        <v>-</v>
      </c>
      <c r="H108" s="12"/>
      <c r="I108" s="12" t="str">
        <f>IFERROR(VLOOKUP($B107,TABLA1!$B$14:$BF$1596,32,FALSE),"-")</f>
        <v>-</v>
      </c>
      <c r="J108" s="18" t="str">
        <f>IFERROR(VLOOKUP($B107,TABLA1!$B$14:$BF$1596,31,FALSE),"-")</f>
        <v>-</v>
      </c>
      <c r="K108" s="12" t="str">
        <f>IFERROR(VLOOKUP($B107,TABLA1!$B$14:$BF$1596,33,FALSE),"-")</f>
        <v>-</v>
      </c>
      <c r="L108" s="18" t="str">
        <f>IFERROR(VLOOKUP($B107,TABLA1!$B$14:$BF$1596,34,FALSE),"-")</f>
        <v>-</v>
      </c>
      <c r="M108" s="12"/>
      <c r="N108" s="12"/>
    </row>
    <row r="109" spans="2:14" x14ac:dyDescent="0.25">
      <c r="C109" s="90"/>
      <c r="D109" s="90"/>
      <c r="E109" s="90"/>
      <c r="F109" s="90"/>
      <c r="G109" s="12" t="str">
        <f>IF(IFERROR(VLOOKUP($B107,TABLA1!$B$14:$BF$1596,10+6,FALSE),"-")="ADELANTE","67-3",IF(IFERROR(VLOOKUP($B107,TABLA1!$B$14:$BF$1596,10+6,FALSE),"-")="BIDIECCIONAL","50-2","-"))</f>
        <v>-</v>
      </c>
      <c r="H109" s="12"/>
      <c r="I109" s="12" t="str">
        <f>IFERROR(VLOOKUP($B107,TABLA1!$B$14:$BF$1596,36,FALSE),"-")</f>
        <v>-</v>
      </c>
      <c r="J109" s="18" t="str">
        <f>IFERROR(VLOOKUP($B107,TABLA1!$B$14:$BF$1596,35,FALSE),"-")</f>
        <v>-</v>
      </c>
      <c r="K109" s="12" t="str">
        <f>IFERROR(VLOOKUP($B107,TABLA1!$B$14:$BF$1596,37,FALSE),"-")</f>
        <v>-</v>
      </c>
      <c r="L109" s="18" t="str">
        <f>IFERROR(VLOOKUP($B107,TABLA1!$B$14:$BF$1596,38,FALSE),"-")</f>
        <v>-</v>
      </c>
      <c r="M109" s="12"/>
      <c r="N109" s="12"/>
    </row>
    <row r="110" spans="2:14" x14ac:dyDescent="0.25">
      <c r="C110" s="90"/>
      <c r="D110" s="90"/>
      <c r="E110" s="90"/>
      <c r="F110" s="90"/>
      <c r="G110" s="12" t="str">
        <f>IF(IFERROR(VLOOKUP($B107,TABLA1!$B$14:$BF$1596,10+9,FALSE),"-")="ADELANTE","67N-1",IF(IFERROR(VLOOKUP($B107,TABLA1!$B$14:$BF$1596,10+9,FALSE),"-")="BIDIECCIONAL","51N","-"))</f>
        <v>-</v>
      </c>
      <c r="H110" s="12"/>
      <c r="I110" s="12" t="str">
        <f>IFERROR(VLOOKUP($B107,TABLA1!$B$14:$BF$1596,40,FALSE),"-")</f>
        <v>-</v>
      </c>
      <c r="J110" s="18" t="str">
        <f>IFERROR(VLOOKUP($B107,TABLA1!$B$14:$BF$1596,39,FALSE),"-")</f>
        <v>-</v>
      </c>
      <c r="K110" s="12" t="str">
        <f>IFERROR(VLOOKUP($B107,TABLA1!$B$14:$BF$1596,41,FALSE),"-")</f>
        <v>-</v>
      </c>
      <c r="L110" s="18" t="str">
        <f>IFERROR(VLOOKUP($B107,TABLA1!$B$14:$BF$1596,42,FALSE),"-")</f>
        <v>-</v>
      </c>
      <c r="M110" s="12"/>
      <c r="N110" s="12"/>
    </row>
    <row r="111" spans="2:14" x14ac:dyDescent="0.25">
      <c r="C111" s="90"/>
      <c r="D111" s="90"/>
      <c r="E111" s="90"/>
      <c r="F111" s="90"/>
      <c r="G111" s="12" t="str">
        <f>IF(IFERROR(VLOOKUP($B107,TABLA1!$B$14:$BF$1596,10+12,FALSE),"-")="ADELANTE","67N-2",IF(IFERROR(VLOOKUP($B107,TABLA1!$B$14:$BF$1596,10+12,FALSE),"-")="BIDIECCIONAL","50N/1","-"))</f>
        <v>-</v>
      </c>
      <c r="H111" s="12"/>
      <c r="I111" s="12" t="str">
        <f>IFERROR(VLOOKUP($B107,TABLA1!$B$14:$BF$1596,44,FALSE),"-")</f>
        <v>-</v>
      </c>
      <c r="J111" s="18" t="str">
        <f>IFERROR(VLOOKUP($B107,TABLA1!$B$14:$BF$1596,43,FALSE),"-")</f>
        <v>-</v>
      </c>
      <c r="K111" s="12" t="str">
        <f>IFERROR(VLOOKUP($B107,TABLA1!$B$14:$BF$1596,45,FALSE),"-")</f>
        <v>-</v>
      </c>
      <c r="L111" s="18" t="str">
        <f>IFERROR(VLOOKUP($B107,TABLA1!$B$14:$BF$1596,46,FALSE),"-")</f>
        <v>-</v>
      </c>
      <c r="M111" s="12"/>
      <c r="N111" s="12"/>
    </row>
    <row r="112" spans="2:14" x14ac:dyDescent="0.25">
      <c r="C112" s="91"/>
      <c r="D112" s="91"/>
      <c r="E112" s="91"/>
      <c r="F112" s="91"/>
      <c r="G112" s="12" t="str">
        <f>IF(IFERROR(VLOOKUP($B107,TABLA1!$B$14:$BF$1596,10+15,FALSE),"-")="ADELANTE","67N-3",IF(IFERROR(VLOOKUP($B107,TABLA1!$B$14:$BF$1596,10+15,FALSE),"-")="BIDIECCIONAL","50N-2","-"))</f>
        <v>-</v>
      </c>
      <c r="H112" s="12"/>
      <c r="I112" s="12" t="str">
        <f>IFERROR(VLOOKUP($B107,TABLA1!$B$14:$BF$1596,48,FALSE),"-")</f>
        <v>-</v>
      </c>
      <c r="J112" s="18" t="str">
        <f>IFERROR(VLOOKUP($B107,TABLA1!$B$14:$BF$1596,47,FALSE),"-")</f>
        <v>-</v>
      </c>
      <c r="K112" s="12" t="str">
        <f>IFERROR(VLOOKUP($B107,TABLA1!$B$14:$BF$1596,49,FALSE),"-")</f>
        <v>-</v>
      </c>
      <c r="L112" s="18" t="str">
        <f>IFERROR(VLOOKUP($B107,TABLA1!$B$14:$BF$1596,50,FALSE),"-")</f>
        <v>-</v>
      </c>
      <c r="M112" s="12"/>
      <c r="N112" s="12"/>
    </row>
    <row r="113" spans="2:14" x14ac:dyDescent="0.25">
      <c r="B113" s="22">
        <f>TABLA1!B32</f>
        <v>0</v>
      </c>
      <c r="C113" s="89" t="e">
        <f>VLOOKUP(B113,TABLA1!$B$14:$BF$1596,2,FALSE)</f>
        <v>#N/A</v>
      </c>
      <c r="D113" s="89" t="e">
        <f>VLOOKUP(B113,TABLA1!$B$14:$BF$1596,3,FALSE)</f>
        <v>#N/A</v>
      </c>
      <c r="E113" s="89" t="e">
        <f>VLOOKUP(B113,TABLA1!$B$14:$BF$1596,6,FALSE)&amp;"/"&amp;VLOOKUP(B113,TABLA1!$B$14:$BF$1596,7,FALSE)</f>
        <v>#N/A</v>
      </c>
      <c r="F113" s="89" t="e">
        <f>VLOOKUP(B113,TABLA1!$B$14:$BF$1596,8,FALSE)</f>
        <v>#N/A</v>
      </c>
      <c r="G113" s="54" t="str">
        <f>IF(IFERROR(VLOOKUP($B113,TABLA1!$B$14:$BF$1596,10,FALSE),"-")="ADELANTE","67-1",IF(IFERROR(VLOOKUP($B113,TABLA1!$B$14:$BF$1596,10,FALSE),"-")="BIDIECCIONAL","51","-"))</f>
        <v>-</v>
      </c>
      <c r="H113" s="54">
        <v>900</v>
      </c>
      <c r="I113" s="12" t="str">
        <f>IFERROR(VLOOKUP($B113,TABLA1!$B$14:$BF$1596,28,FALSE),"-")</f>
        <v>-</v>
      </c>
      <c r="J113" s="18" t="str">
        <f>IFERROR(VLOOKUP($B113,TABLA1!$B$14:$BF$1596,27,FALSE),"-")</f>
        <v>-</v>
      </c>
      <c r="K113" s="12" t="str">
        <f>IFERROR(VLOOKUP($B113,TABLA1!$B$14:$BF$1596,29,FALSE),"-")</f>
        <v>-</v>
      </c>
      <c r="L113" s="18" t="str">
        <f>IFERROR(VLOOKUP($B113,TABLA1!$B$14:$BF$1596,30,FALSE),"-")</f>
        <v>-</v>
      </c>
      <c r="M113" s="19"/>
      <c r="N113" s="19"/>
    </row>
    <row r="114" spans="2:14" x14ac:dyDescent="0.25">
      <c r="C114" s="90"/>
      <c r="D114" s="90"/>
      <c r="E114" s="90"/>
      <c r="F114" s="90"/>
      <c r="G114" s="12" t="str">
        <f>IF(IFERROR(VLOOKUP($B113,TABLA1!$B$14:$BF$1596,10+3,FALSE),"-")="ADELANTE","67-2",IF(IFERROR(VLOOKUP($B113,TABLA1!$B$14:$BF$1596,10+3,FALSE),"-")="BIDIECCIONAL","50-1","-"))</f>
        <v>-</v>
      </c>
      <c r="H114" s="12"/>
      <c r="I114" s="12" t="str">
        <f>IFERROR(VLOOKUP($B113,TABLA1!$B$14:$BF$1596,32,FALSE),"-")</f>
        <v>-</v>
      </c>
      <c r="J114" s="18" t="str">
        <f>IFERROR(VLOOKUP($B113,TABLA1!$B$14:$BF$1596,31,FALSE),"-")</f>
        <v>-</v>
      </c>
      <c r="K114" s="12" t="str">
        <f>IFERROR(VLOOKUP($B113,TABLA1!$B$14:$BF$1596,33,FALSE),"-")</f>
        <v>-</v>
      </c>
      <c r="L114" s="18" t="str">
        <f>IFERROR(VLOOKUP($B113,TABLA1!$B$14:$BF$1596,34,FALSE),"-")</f>
        <v>-</v>
      </c>
      <c r="M114" s="12"/>
      <c r="N114" s="12"/>
    </row>
    <row r="115" spans="2:14" x14ac:dyDescent="0.25">
      <c r="C115" s="90"/>
      <c r="D115" s="90"/>
      <c r="E115" s="90"/>
      <c r="F115" s="90"/>
      <c r="G115" s="12" t="str">
        <f>IF(IFERROR(VLOOKUP($B113,TABLA1!$B$14:$BF$1596,10+6,FALSE),"-")="ADELANTE","67-3",IF(IFERROR(VLOOKUP($B113,TABLA1!$B$14:$BF$1596,10+6,FALSE),"-")="BIDIECCIONAL","50-2","-"))</f>
        <v>-</v>
      </c>
      <c r="H115" s="12"/>
      <c r="I115" s="12" t="str">
        <f>IFERROR(VLOOKUP($B113,TABLA1!$B$14:$BF$1596,36,FALSE),"-")</f>
        <v>-</v>
      </c>
      <c r="J115" s="18" t="str">
        <f>IFERROR(VLOOKUP($B113,TABLA1!$B$14:$BF$1596,35,FALSE),"-")</f>
        <v>-</v>
      </c>
      <c r="K115" s="12" t="str">
        <f>IFERROR(VLOOKUP($B113,TABLA1!$B$14:$BF$1596,37,FALSE),"-")</f>
        <v>-</v>
      </c>
      <c r="L115" s="18" t="str">
        <f>IFERROR(VLOOKUP($B113,TABLA1!$B$14:$BF$1596,38,FALSE),"-")</f>
        <v>-</v>
      </c>
      <c r="M115" s="12"/>
      <c r="N115" s="12"/>
    </row>
    <row r="116" spans="2:14" x14ac:dyDescent="0.25">
      <c r="C116" s="90"/>
      <c r="D116" s="90"/>
      <c r="E116" s="90"/>
      <c r="F116" s="90"/>
      <c r="G116" s="12" t="str">
        <f>IF(IFERROR(VLOOKUP($B113,TABLA1!$B$14:$BF$1596,10+9,FALSE),"-")="ADELANTE","67N-1",IF(IFERROR(VLOOKUP($B113,TABLA1!$B$14:$BF$1596,10+9,FALSE),"-")="BIDIECCIONAL","51N","-"))</f>
        <v>-</v>
      </c>
      <c r="H116" s="12"/>
      <c r="I116" s="12" t="str">
        <f>IFERROR(VLOOKUP($B113,TABLA1!$B$14:$BF$1596,40,FALSE),"-")</f>
        <v>-</v>
      </c>
      <c r="J116" s="18" t="str">
        <f>IFERROR(VLOOKUP($B113,TABLA1!$B$14:$BF$1596,39,FALSE),"-")</f>
        <v>-</v>
      </c>
      <c r="K116" s="12" t="str">
        <f>IFERROR(VLOOKUP($B113,TABLA1!$B$14:$BF$1596,41,FALSE),"-")</f>
        <v>-</v>
      </c>
      <c r="L116" s="18" t="str">
        <f>IFERROR(VLOOKUP($B113,TABLA1!$B$14:$BF$1596,42,FALSE),"-")</f>
        <v>-</v>
      </c>
      <c r="M116" s="12"/>
      <c r="N116" s="12"/>
    </row>
    <row r="117" spans="2:14" x14ac:dyDescent="0.25">
      <c r="C117" s="90"/>
      <c r="D117" s="90"/>
      <c r="E117" s="90"/>
      <c r="F117" s="90"/>
      <c r="G117" s="12" t="str">
        <f>IF(IFERROR(VLOOKUP($B113,TABLA1!$B$14:$BF$1596,10+12,FALSE),"-")="ADELANTE","67N-2",IF(IFERROR(VLOOKUP($B113,TABLA1!$B$14:$BF$1596,10+12,FALSE),"-")="BIDIECCIONAL","50N/1","-"))</f>
        <v>-</v>
      </c>
      <c r="H117" s="12"/>
      <c r="I117" s="12" t="str">
        <f>IFERROR(VLOOKUP($B113,TABLA1!$B$14:$BF$1596,44,FALSE),"-")</f>
        <v>-</v>
      </c>
      <c r="J117" s="18" t="str">
        <f>IFERROR(VLOOKUP($B113,TABLA1!$B$14:$BF$1596,43,FALSE),"-")</f>
        <v>-</v>
      </c>
      <c r="K117" s="12" t="str">
        <f>IFERROR(VLOOKUP($B113,TABLA1!$B$14:$BF$1596,45,FALSE),"-")</f>
        <v>-</v>
      </c>
      <c r="L117" s="18" t="str">
        <f>IFERROR(VLOOKUP($B113,TABLA1!$B$14:$BF$1596,46,FALSE),"-")</f>
        <v>-</v>
      </c>
      <c r="M117" s="12"/>
      <c r="N117" s="12"/>
    </row>
    <row r="118" spans="2:14" x14ac:dyDescent="0.25">
      <c r="C118" s="91"/>
      <c r="D118" s="91"/>
      <c r="E118" s="91"/>
      <c r="F118" s="91"/>
      <c r="G118" s="12" t="str">
        <f>IF(IFERROR(VLOOKUP($B113,TABLA1!$B$14:$BF$1596,10+15,FALSE),"-")="ADELANTE","67N-3",IF(IFERROR(VLOOKUP($B113,TABLA1!$B$14:$BF$1596,10+15,FALSE),"-")="BIDIECCIONAL","50N-2","-"))</f>
        <v>-</v>
      </c>
      <c r="H118" s="12"/>
      <c r="I118" s="12" t="str">
        <f>IFERROR(VLOOKUP($B113,TABLA1!$B$14:$BF$1596,48,FALSE),"-")</f>
        <v>-</v>
      </c>
      <c r="J118" s="18" t="str">
        <f>IFERROR(VLOOKUP($B113,TABLA1!$B$14:$BF$1596,47,FALSE),"-")</f>
        <v>-</v>
      </c>
      <c r="K118" s="12" t="str">
        <f>IFERROR(VLOOKUP($B113,TABLA1!$B$14:$BF$1596,49,FALSE),"-")</f>
        <v>-</v>
      </c>
      <c r="L118" s="18" t="str">
        <f>IFERROR(VLOOKUP($B113,TABLA1!$B$14:$BF$1596,50,FALSE),"-")</f>
        <v>-</v>
      </c>
      <c r="M118" s="12"/>
      <c r="N118" s="12"/>
    </row>
    <row r="119" spans="2:14" x14ac:dyDescent="0.25">
      <c r="B119" s="22">
        <f>TABLA1!B33</f>
        <v>0</v>
      </c>
      <c r="C119" s="89" t="e">
        <f>VLOOKUP(B119,TABLA1!$B$14:$BF$1596,2,FALSE)</f>
        <v>#N/A</v>
      </c>
      <c r="D119" s="89" t="e">
        <f>VLOOKUP(B119,TABLA1!$B$14:$BF$1596,3,FALSE)</f>
        <v>#N/A</v>
      </c>
      <c r="E119" s="89" t="e">
        <f>VLOOKUP(B119,TABLA1!$B$14:$BF$1596,6,FALSE)&amp;"/"&amp;VLOOKUP(B119,TABLA1!$B$14:$BF$1596,7,FALSE)</f>
        <v>#N/A</v>
      </c>
      <c r="F119" s="89" t="e">
        <f>VLOOKUP(B119,TABLA1!$B$14:$BF$1596,8,FALSE)</f>
        <v>#N/A</v>
      </c>
      <c r="G119" s="54" t="str">
        <f>IF(IFERROR(VLOOKUP($B119,TABLA1!$B$14:$BF$1596,10,FALSE),"-")="ADELANTE","67-1",IF(IFERROR(VLOOKUP($B119,TABLA1!$B$14:$BF$1596,10,FALSE),"-")="BIDIECCIONAL","51","-"))</f>
        <v>-</v>
      </c>
      <c r="H119" s="54">
        <v>900</v>
      </c>
      <c r="I119" s="12" t="str">
        <f>IFERROR(VLOOKUP($B119,TABLA1!$B$14:$BF$1596,28,FALSE),"-")</f>
        <v>-</v>
      </c>
      <c r="J119" s="18" t="str">
        <f>IFERROR(VLOOKUP($B119,TABLA1!$B$14:$BF$1596,27,FALSE),"-")</f>
        <v>-</v>
      </c>
      <c r="K119" s="12" t="str">
        <f>IFERROR(VLOOKUP($B119,TABLA1!$B$14:$BF$1596,29,FALSE),"-")</f>
        <v>-</v>
      </c>
      <c r="L119" s="18" t="str">
        <f>IFERROR(VLOOKUP($B119,TABLA1!$B$14:$BF$1596,30,FALSE),"-")</f>
        <v>-</v>
      </c>
      <c r="M119" s="19"/>
      <c r="N119" s="19"/>
    </row>
    <row r="120" spans="2:14" x14ac:dyDescent="0.25">
      <c r="C120" s="90"/>
      <c r="D120" s="90"/>
      <c r="E120" s="90"/>
      <c r="F120" s="90"/>
      <c r="G120" s="12" t="str">
        <f>IF(IFERROR(VLOOKUP($B119,TABLA1!$B$14:$BF$1596,10+3,FALSE),"-")="ADELANTE","67-2",IF(IFERROR(VLOOKUP($B119,TABLA1!$B$14:$BF$1596,10+3,FALSE),"-")="BIDIECCIONAL","50-1","-"))</f>
        <v>-</v>
      </c>
      <c r="H120" s="12"/>
      <c r="I120" s="12" t="str">
        <f>IFERROR(VLOOKUP($B119,TABLA1!$B$14:$BF$1596,32,FALSE),"-")</f>
        <v>-</v>
      </c>
      <c r="J120" s="18" t="str">
        <f>IFERROR(VLOOKUP($B119,TABLA1!$B$14:$BF$1596,31,FALSE),"-")</f>
        <v>-</v>
      </c>
      <c r="K120" s="12" t="str">
        <f>IFERROR(VLOOKUP($B119,TABLA1!$B$14:$BF$1596,33,FALSE),"-")</f>
        <v>-</v>
      </c>
      <c r="L120" s="18" t="str">
        <f>IFERROR(VLOOKUP($B119,TABLA1!$B$14:$BF$1596,34,FALSE),"-")</f>
        <v>-</v>
      </c>
      <c r="M120" s="12"/>
      <c r="N120" s="12"/>
    </row>
    <row r="121" spans="2:14" x14ac:dyDescent="0.25">
      <c r="C121" s="90"/>
      <c r="D121" s="90"/>
      <c r="E121" s="90"/>
      <c r="F121" s="90"/>
      <c r="G121" s="12" t="str">
        <f>IF(IFERROR(VLOOKUP($B119,TABLA1!$B$14:$BF$1596,10+6,FALSE),"-")="ADELANTE","67-3",IF(IFERROR(VLOOKUP($B119,TABLA1!$B$14:$BF$1596,10+6,FALSE),"-")="BIDIECCIONAL","50-2","-"))</f>
        <v>-</v>
      </c>
      <c r="H121" s="12"/>
      <c r="I121" s="12" t="str">
        <f>IFERROR(VLOOKUP($B119,TABLA1!$B$14:$BF$1596,36,FALSE),"-")</f>
        <v>-</v>
      </c>
      <c r="J121" s="18" t="str">
        <f>IFERROR(VLOOKUP($B119,TABLA1!$B$14:$BF$1596,35,FALSE),"-")</f>
        <v>-</v>
      </c>
      <c r="K121" s="12" t="str">
        <f>IFERROR(VLOOKUP($B119,TABLA1!$B$14:$BF$1596,37,FALSE),"-")</f>
        <v>-</v>
      </c>
      <c r="L121" s="18" t="str">
        <f>IFERROR(VLOOKUP($B119,TABLA1!$B$14:$BF$1596,38,FALSE),"-")</f>
        <v>-</v>
      </c>
      <c r="M121" s="12"/>
      <c r="N121" s="12"/>
    </row>
    <row r="122" spans="2:14" x14ac:dyDescent="0.25">
      <c r="C122" s="90"/>
      <c r="D122" s="90"/>
      <c r="E122" s="90"/>
      <c r="F122" s="90"/>
      <c r="G122" s="12" t="str">
        <f>IF(IFERROR(VLOOKUP($B119,TABLA1!$B$14:$BF$1596,10+9,FALSE),"-")="ADELANTE","67N-1",IF(IFERROR(VLOOKUP($B119,TABLA1!$B$14:$BF$1596,10+9,FALSE),"-")="BIDIECCIONAL","51N","-"))</f>
        <v>-</v>
      </c>
      <c r="H122" s="12"/>
      <c r="I122" s="12" t="str">
        <f>IFERROR(VLOOKUP($B119,TABLA1!$B$14:$BF$1596,40,FALSE),"-")</f>
        <v>-</v>
      </c>
      <c r="J122" s="18" t="str">
        <f>IFERROR(VLOOKUP($B119,TABLA1!$B$14:$BF$1596,39,FALSE),"-")</f>
        <v>-</v>
      </c>
      <c r="K122" s="12" t="str">
        <f>IFERROR(VLOOKUP($B119,TABLA1!$B$14:$BF$1596,41,FALSE),"-")</f>
        <v>-</v>
      </c>
      <c r="L122" s="18" t="str">
        <f>IFERROR(VLOOKUP($B119,TABLA1!$B$14:$BF$1596,42,FALSE),"-")</f>
        <v>-</v>
      </c>
      <c r="M122" s="12"/>
      <c r="N122" s="12"/>
    </row>
    <row r="123" spans="2:14" x14ac:dyDescent="0.25">
      <c r="C123" s="90"/>
      <c r="D123" s="90"/>
      <c r="E123" s="90"/>
      <c r="F123" s="90"/>
      <c r="G123" s="12" t="str">
        <f>IF(IFERROR(VLOOKUP($B119,TABLA1!$B$14:$BF$1596,10+12,FALSE),"-")="ADELANTE","67N-2",IF(IFERROR(VLOOKUP($B119,TABLA1!$B$14:$BF$1596,10+12,FALSE),"-")="BIDIECCIONAL","50N/1","-"))</f>
        <v>-</v>
      </c>
      <c r="H123" s="12"/>
      <c r="I123" s="12" t="str">
        <f>IFERROR(VLOOKUP($B119,TABLA1!$B$14:$BF$1596,44,FALSE),"-")</f>
        <v>-</v>
      </c>
      <c r="J123" s="18" t="str">
        <f>IFERROR(VLOOKUP($B119,TABLA1!$B$14:$BF$1596,43,FALSE),"-")</f>
        <v>-</v>
      </c>
      <c r="K123" s="12" t="str">
        <f>IFERROR(VLOOKUP($B119,TABLA1!$B$14:$BF$1596,45,FALSE),"-")</f>
        <v>-</v>
      </c>
      <c r="L123" s="18" t="str">
        <f>IFERROR(VLOOKUP($B119,TABLA1!$B$14:$BF$1596,46,FALSE),"-")</f>
        <v>-</v>
      </c>
      <c r="M123" s="12"/>
      <c r="N123" s="12"/>
    </row>
    <row r="124" spans="2:14" x14ac:dyDescent="0.25">
      <c r="C124" s="91"/>
      <c r="D124" s="91"/>
      <c r="E124" s="91"/>
      <c r="F124" s="91"/>
      <c r="G124" s="12" t="str">
        <f>IF(IFERROR(VLOOKUP($B119,TABLA1!$B$14:$BF$1596,10+15,FALSE),"-")="ADELANTE","67N-3",IF(IFERROR(VLOOKUP($B119,TABLA1!$B$14:$BF$1596,10+15,FALSE),"-")="BIDIECCIONAL","50N-2","-"))</f>
        <v>-</v>
      </c>
      <c r="H124" s="12"/>
      <c r="I124" s="12" t="str">
        <f>IFERROR(VLOOKUP($B119,TABLA1!$B$14:$BF$1596,48,FALSE),"-")</f>
        <v>-</v>
      </c>
      <c r="J124" s="18" t="str">
        <f>IFERROR(VLOOKUP($B119,TABLA1!$B$14:$BF$1596,47,FALSE),"-")</f>
        <v>-</v>
      </c>
      <c r="K124" s="12" t="str">
        <f>IFERROR(VLOOKUP($B119,TABLA1!$B$14:$BF$1596,49,FALSE),"-")</f>
        <v>-</v>
      </c>
      <c r="L124" s="18" t="str">
        <f>IFERROR(VLOOKUP($B119,TABLA1!$B$14:$BF$1596,50,FALSE),"-")</f>
        <v>-</v>
      </c>
      <c r="M124" s="12"/>
      <c r="N124" s="12"/>
    </row>
    <row r="125" spans="2:14" x14ac:dyDescent="0.25">
      <c r="B125" s="22">
        <f>TABLA1!B34</f>
        <v>0</v>
      </c>
      <c r="C125" s="89" t="e">
        <f>VLOOKUP(B125,TABLA1!$B$14:$BF$1596,2,FALSE)</f>
        <v>#N/A</v>
      </c>
      <c r="D125" s="89" t="e">
        <f>VLOOKUP(B125,TABLA1!$B$14:$BF$1596,3,FALSE)</f>
        <v>#N/A</v>
      </c>
      <c r="E125" s="89" t="e">
        <f>VLOOKUP(B125,TABLA1!$B$14:$BF$1596,6,FALSE)&amp;"/"&amp;VLOOKUP(B125,TABLA1!$B$14:$BF$1596,7,FALSE)</f>
        <v>#N/A</v>
      </c>
      <c r="F125" s="89" t="e">
        <f>VLOOKUP(B125,TABLA1!$B$14:$BF$1596,8,FALSE)</f>
        <v>#N/A</v>
      </c>
      <c r="G125" s="54" t="str">
        <f>IF(IFERROR(VLOOKUP($B125,TABLA1!$B$14:$BF$1596,10,FALSE),"-")="ADELANTE","67-1",IF(IFERROR(VLOOKUP($B125,TABLA1!$B$14:$BF$1596,10,FALSE),"-")="BIDIECCIONAL","51","-"))</f>
        <v>-</v>
      </c>
      <c r="H125" s="54">
        <v>900</v>
      </c>
      <c r="I125" s="12" t="str">
        <f>IFERROR(VLOOKUP($B125,TABLA1!$B$14:$BF$1596,28,FALSE),"-")</f>
        <v>-</v>
      </c>
      <c r="J125" s="18" t="str">
        <f>IFERROR(VLOOKUP($B125,TABLA1!$B$14:$BF$1596,27,FALSE),"-")</f>
        <v>-</v>
      </c>
      <c r="K125" s="12" t="str">
        <f>IFERROR(VLOOKUP($B125,TABLA1!$B$14:$BF$1596,29,FALSE),"-")</f>
        <v>-</v>
      </c>
      <c r="L125" s="18" t="str">
        <f>IFERROR(VLOOKUP($B125,TABLA1!$B$14:$BF$1596,30,FALSE),"-")</f>
        <v>-</v>
      </c>
      <c r="M125" s="19"/>
      <c r="N125" s="19"/>
    </row>
    <row r="126" spans="2:14" x14ac:dyDescent="0.25">
      <c r="C126" s="90"/>
      <c r="D126" s="90"/>
      <c r="E126" s="90"/>
      <c r="F126" s="90"/>
      <c r="G126" s="12" t="str">
        <f>IF(IFERROR(VLOOKUP($B125,TABLA1!$B$14:$BF$1596,10+3,FALSE),"-")="ADELANTE","67-2",IF(IFERROR(VLOOKUP($B125,TABLA1!$B$14:$BF$1596,10+3,FALSE),"-")="BIDIECCIONAL","50-1","-"))</f>
        <v>-</v>
      </c>
      <c r="H126" s="12"/>
      <c r="I126" s="12" t="str">
        <f>IFERROR(VLOOKUP($B125,TABLA1!$B$14:$BF$1596,32,FALSE),"-")</f>
        <v>-</v>
      </c>
      <c r="J126" s="18" t="str">
        <f>IFERROR(VLOOKUP($B125,TABLA1!$B$14:$BF$1596,31,FALSE),"-")</f>
        <v>-</v>
      </c>
      <c r="K126" s="12" t="str">
        <f>IFERROR(VLOOKUP($B125,TABLA1!$B$14:$BF$1596,33,FALSE),"-")</f>
        <v>-</v>
      </c>
      <c r="L126" s="18" t="str">
        <f>IFERROR(VLOOKUP($B125,TABLA1!$B$14:$BF$1596,34,FALSE),"-")</f>
        <v>-</v>
      </c>
      <c r="M126" s="12"/>
      <c r="N126" s="12"/>
    </row>
    <row r="127" spans="2:14" x14ac:dyDescent="0.25">
      <c r="C127" s="90"/>
      <c r="D127" s="90"/>
      <c r="E127" s="90"/>
      <c r="F127" s="90"/>
      <c r="G127" s="12" t="str">
        <f>IF(IFERROR(VLOOKUP($B125,TABLA1!$B$14:$BF$1596,10+6,FALSE),"-")="ADELANTE","67-3",IF(IFERROR(VLOOKUP($B125,TABLA1!$B$14:$BF$1596,10+6,FALSE),"-")="BIDIECCIONAL","50-2","-"))</f>
        <v>-</v>
      </c>
      <c r="H127" s="12"/>
      <c r="I127" s="12" t="str">
        <f>IFERROR(VLOOKUP($B125,TABLA1!$B$14:$BF$1596,36,FALSE),"-")</f>
        <v>-</v>
      </c>
      <c r="J127" s="18" t="str">
        <f>IFERROR(VLOOKUP($B125,TABLA1!$B$14:$BF$1596,35,FALSE),"-")</f>
        <v>-</v>
      </c>
      <c r="K127" s="12" t="str">
        <f>IFERROR(VLOOKUP($B125,TABLA1!$B$14:$BF$1596,37,FALSE),"-")</f>
        <v>-</v>
      </c>
      <c r="L127" s="18" t="str">
        <f>IFERROR(VLOOKUP($B125,TABLA1!$B$14:$BF$1596,38,FALSE),"-")</f>
        <v>-</v>
      </c>
      <c r="M127" s="12"/>
      <c r="N127" s="12"/>
    </row>
    <row r="128" spans="2:14" x14ac:dyDescent="0.25">
      <c r="C128" s="90"/>
      <c r="D128" s="90"/>
      <c r="E128" s="90"/>
      <c r="F128" s="90"/>
      <c r="G128" s="12" t="str">
        <f>IF(IFERROR(VLOOKUP($B125,TABLA1!$B$14:$BF$1596,10+9,FALSE),"-")="ADELANTE","67N-1",IF(IFERROR(VLOOKUP($B125,TABLA1!$B$14:$BF$1596,10+9,FALSE),"-")="BIDIECCIONAL","51N","-"))</f>
        <v>-</v>
      </c>
      <c r="H128" s="12"/>
      <c r="I128" s="12" t="str">
        <f>IFERROR(VLOOKUP($B125,TABLA1!$B$14:$BF$1596,40,FALSE),"-")</f>
        <v>-</v>
      </c>
      <c r="J128" s="18" t="str">
        <f>IFERROR(VLOOKUP($B125,TABLA1!$B$14:$BF$1596,39,FALSE),"-")</f>
        <v>-</v>
      </c>
      <c r="K128" s="12" t="str">
        <f>IFERROR(VLOOKUP($B125,TABLA1!$B$14:$BF$1596,41,FALSE),"-")</f>
        <v>-</v>
      </c>
      <c r="L128" s="18" t="str">
        <f>IFERROR(VLOOKUP($B125,TABLA1!$B$14:$BF$1596,42,FALSE),"-")</f>
        <v>-</v>
      </c>
      <c r="M128" s="12"/>
      <c r="N128" s="12"/>
    </row>
    <row r="129" spans="2:14" x14ac:dyDescent="0.25">
      <c r="C129" s="90"/>
      <c r="D129" s="90"/>
      <c r="E129" s="90"/>
      <c r="F129" s="90"/>
      <c r="G129" s="12" t="str">
        <f>IF(IFERROR(VLOOKUP($B125,TABLA1!$B$14:$BF$1596,10+12,FALSE),"-")="ADELANTE","67N-2",IF(IFERROR(VLOOKUP($B125,TABLA1!$B$14:$BF$1596,10+12,FALSE),"-")="BIDIECCIONAL","50N/1","-"))</f>
        <v>-</v>
      </c>
      <c r="H129" s="12"/>
      <c r="I129" s="12" t="str">
        <f>IFERROR(VLOOKUP($B125,TABLA1!$B$14:$BF$1596,44,FALSE),"-")</f>
        <v>-</v>
      </c>
      <c r="J129" s="18" t="str">
        <f>IFERROR(VLOOKUP($B125,TABLA1!$B$14:$BF$1596,43,FALSE),"-")</f>
        <v>-</v>
      </c>
      <c r="K129" s="12" t="str">
        <f>IFERROR(VLOOKUP($B125,TABLA1!$B$14:$BF$1596,45,FALSE),"-")</f>
        <v>-</v>
      </c>
      <c r="L129" s="18" t="str">
        <f>IFERROR(VLOOKUP($B125,TABLA1!$B$14:$BF$1596,46,FALSE),"-")</f>
        <v>-</v>
      </c>
      <c r="M129" s="12"/>
      <c r="N129" s="12"/>
    </row>
    <row r="130" spans="2:14" x14ac:dyDescent="0.25">
      <c r="C130" s="91"/>
      <c r="D130" s="91"/>
      <c r="E130" s="91"/>
      <c r="F130" s="91"/>
      <c r="G130" s="12" t="str">
        <f>IF(IFERROR(VLOOKUP($B125,TABLA1!$B$14:$BF$1596,10+15,FALSE),"-")="ADELANTE","67N-3",IF(IFERROR(VLOOKUP($B125,TABLA1!$B$14:$BF$1596,10+15,FALSE),"-")="BIDIECCIONAL","50N-2","-"))</f>
        <v>-</v>
      </c>
      <c r="H130" s="12"/>
      <c r="I130" s="12" t="str">
        <f>IFERROR(VLOOKUP($B125,TABLA1!$B$14:$BF$1596,48,FALSE),"-")</f>
        <v>-</v>
      </c>
      <c r="J130" s="18" t="str">
        <f>IFERROR(VLOOKUP($B125,TABLA1!$B$14:$BF$1596,47,FALSE),"-")</f>
        <v>-</v>
      </c>
      <c r="K130" s="12" t="str">
        <f>IFERROR(VLOOKUP($B125,TABLA1!$B$14:$BF$1596,49,FALSE),"-")</f>
        <v>-</v>
      </c>
      <c r="L130" s="18" t="str">
        <f>IFERROR(VLOOKUP($B125,TABLA1!$B$14:$BF$1596,50,FALSE),"-")</f>
        <v>-</v>
      </c>
      <c r="M130" s="12"/>
      <c r="N130" s="12"/>
    </row>
    <row r="131" spans="2:14" x14ac:dyDescent="0.25">
      <c r="B131" s="22">
        <f>TABLA1!B35</f>
        <v>0</v>
      </c>
      <c r="C131" s="89" t="e">
        <f>VLOOKUP(B131,TABLA1!$B$14:$BF$1596,2,FALSE)</f>
        <v>#N/A</v>
      </c>
      <c r="D131" s="89" t="e">
        <f>VLOOKUP(B131,TABLA1!$B$14:$BF$1596,3,FALSE)</f>
        <v>#N/A</v>
      </c>
      <c r="E131" s="89" t="e">
        <f>VLOOKUP(B131,TABLA1!$B$14:$BF$1596,6,FALSE)&amp;"/"&amp;VLOOKUP(B131,TABLA1!$B$14:$BF$1596,7,FALSE)</f>
        <v>#N/A</v>
      </c>
      <c r="F131" s="89" t="e">
        <f>VLOOKUP(B131,TABLA1!$B$14:$BF$1596,8,FALSE)</f>
        <v>#N/A</v>
      </c>
      <c r="G131" s="54" t="str">
        <f>IF(IFERROR(VLOOKUP($B131,TABLA1!$B$14:$BF$1596,10,FALSE),"-")="ADELANTE","67-1",IF(IFERROR(VLOOKUP($B131,TABLA1!$B$14:$BF$1596,10,FALSE),"-")="BIDIECCIONAL","51","-"))</f>
        <v>-</v>
      </c>
      <c r="H131" s="54">
        <v>900</v>
      </c>
      <c r="I131" s="12" t="str">
        <f>IFERROR(VLOOKUP($B131,TABLA1!$B$14:$BF$1596,28,FALSE),"-")</f>
        <v>-</v>
      </c>
      <c r="J131" s="18" t="str">
        <f>IFERROR(VLOOKUP($B131,TABLA1!$B$14:$BF$1596,27,FALSE),"-")</f>
        <v>-</v>
      </c>
      <c r="K131" s="12" t="str">
        <f>IFERROR(VLOOKUP($B131,TABLA1!$B$14:$BF$1596,29,FALSE),"-")</f>
        <v>-</v>
      </c>
      <c r="L131" s="18" t="str">
        <f>IFERROR(VLOOKUP($B131,TABLA1!$B$14:$BF$1596,30,FALSE),"-")</f>
        <v>-</v>
      </c>
      <c r="M131" s="19"/>
      <c r="N131" s="19"/>
    </row>
    <row r="132" spans="2:14" x14ac:dyDescent="0.25">
      <c r="C132" s="90"/>
      <c r="D132" s="90"/>
      <c r="E132" s="90"/>
      <c r="F132" s="90"/>
      <c r="G132" s="12" t="str">
        <f>IF(IFERROR(VLOOKUP($B131,TABLA1!$B$14:$BF$1596,10+3,FALSE),"-")="ADELANTE","67-2",IF(IFERROR(VLOOKUP($B131,TABLA1!$B$14:$BF$1596,10+3,FALSE),"-")="BIDIECCIONAL","50-1","-"))</f>
        <v>-</v>
      </c>
      <c r="H132" s="12"/>
      <c r="I132" s="12" t="str">
        <f>IFERROR(VLOOKUP($B131,TABLA1!$B$14:$BF$1596,32,FALSE),"-")</f>
        <v>-</v>
      </c>
      <c r="J132" s="18" t="str">
        <f>IFERROR(VLOOKUP($B131,TABLA1!$B$14:$BF$1596,31,FALSE),"-")</f>
        <v>-</v>
      </c>
      <c r="K132" s="12" t="str">
        <f>IFERROR(VLOOKUP($B131,TABLA1!$B$14:$BF$1596,33,FALSE),"-")</f>
        <v>-</v>
      </c>
      <c r="L132" s="18" t="str">
        <f>IFERROR(VLOOKUP($B131,TABLA1!$B$14:$BF$1596,34,FALSE),"-")</f>
        <v>-</v>
      </c>
      <c r="M132" s="12"/>
      <c r="N132" s="12"/>
    </row>
    <row r="133" spans="2:14" x14ac:dyDescent="0.25">
      <c r="C133" s="90"/>
      <c r="D133" s="90"/>
      <c r="E133" s="90"/>
      <c r="F133" s="90"/>
      <c r="G133" s="12" t="str">
        <f>IF(IFERROR(VLOOKUP($B131,TABLA1!$B$14:$BF$1596,10+6,FALSE),"-")="ADELANTE","67-3",IF(IFERROR(VLOOKUP($B131,TABLA1!$B$14:$BF$1596,10+6,FALSE),"-")="BIDIECCIONAL","50-2","-"))</f>
        <v>-</v>
      </c>
      <c r="H133" s="12"/>
      <c r="I133" s="12" t="str">
        <f>IFERROR(VLOOKUP($B131,TABLA1!$B$14:$BF$1596,36,FALSE),"-")</f>
        <v>-</v>
      </c>
      <c r="J133" s="18" t="str">
        <f>IFERROR(VLOOKUP($B131,TABLA1!$B$14:$BF$1596,35,FALSE),"-")</f>
        <v>-</v>
      </c>
      <c r="K133" s="12" t="str">
        <f>IFERROR(VLOOKUP($B131,TABLA1!$B$14:$BF$1596,37,FALSE),"-")</f>
        <v>-</v>
      </c>
      <c r="L133" s="18" t="str">
        <f>IFERROR(VLOOKUP($B131,TABLA1!$B$14:$BF$1596,38,FALSE),"-")</f>
        <v>-</v>
      </c>
      <c r="M133" s="12"/>
      <c r="N133" s="12"/>
    </row>
    <row r="134" spans="2:14" x14ac:dyDescent="0.25">
      <c r="C134" s="90"/>
      <c r="D134" s="90"/>
      <c r="E134" s="90"/>
      <c r="F134" s="90"/>
      <c r="G134" s="12" t="str">
        <f>IF(IFERROR(VLOOKUP($B131,TABLA1!$B$14:$BF$1596,10+9,FALSE),"-")="ADELANTE","67N-1",IF(IFERROR(VLOOKUP($B131,TABLA1!$B$14:$BF$1596,10+9,FALSE),"-")="BIDIECCIONAL","51N","-"))</f>
        <v>-</v>
      </c>
      <c r="H134" s="12"/>
      <c r="I134" s="12" t="str">
        <f>IFERROR(VLOOKUP($B131,TABLA1!$B$14:$BF$1596,40,FALSE),"-")</f>
        <v>-</v>
      </c>
      <c r="J134" s="18" t="str">
        <f>IFERROR(VLOOKUP($B131,TABLA1!$B$14:$BF$1596,39,FALSE),"-")</f>
        <v>-</v>
      </c>
      <c r="K134" s="12" t="str">
        <f>IFERROR(VLOOKUP($B131,TABLA1!$B$14:$BF$1596,41,FALSE),"-")</f>
        <v>-</v>
      </c>
      <c r="L134" s="18" t="str">
        <f>IFERROR(VLOOKUP($B131,TABLA1!$B$14:$BF$1596,42,FALSE),"-")</f>
        <v>-</v>
      </c>
      <c r="M134" s="12"/>
      <c r="N134" s="12"/>
    </row>
    <row r="135" spans="2:14" x14ac:dyDescent="0.25">
      <c r="C135" s="90"/>
      <c r="D135" s="90"/>
      <c r="E135" s="90"/>
      <c r="F135" s="90"/>
      <c r="G135" s="12" t="str">
        <f>IF(IFERROR(VLOOKUP($B131,TABLA1!$B$14:$BF$1596,10+12,FALSE),"-")="ADELANTE","67N-2",IF(IFERROR(VLOOKUP($B131,TABLA1!$B$14:$BF$1596,10+12,FALSE),"-")="BIDIECCIONAL","50N/1","-"))</f>
        <v>-</v>
      </c>
      <c r="H135" s="12"/>
      <c r="I135" s="12" t="str">
        <f>IFERROR(VLOOKUP($B131,TABLA1!$B$14:$BF$1596,44,FALSE),"-")</f>
        <v>-</v>
      </c>
      <c r="J135" s="18" t="str">
        <f>IFERROR(VLOOKUP($B131,TABLA1!$B$14:$BF$1596,43,FALSE),"-")</f>
        <v>-</v>
      </c>
      <c r="K135" s="12" t="str">
        <f>IFERROR(VLOOKUP($B131,TABLA1!$B$14:$BF$1596,45,FALSE),"-")</f>
        <v>-</v>
      </c>
      <c r="L135" s="18" t="str">
        <f>IFERROR(VLOOKUP($B131,TABLA1!$B$14:$BF$1596,46,FALSE),"-")</f>
        <v>-</v>
      </c>
      <c r="M135" s="12"/>
      <c r="N135" s="12"/>
    </row>
    <row r="136" spans="2:14" x14ac:dyDescent="0.25">
      <c r="C136" s="91"/>
      <c r="D136" s="91"/>
      <c r="E136" s="91"/>
      <c r="F136" s="91"/>
      <c r="G136" s="12" t="str">
        <f>IF(IFERROR(VLOOKUP($B131,TABLA1!$B$14:$BF$1596,10+15,FALSE),"-")="ADELANTE","67N-3",IF(IFERROR(VLOOKUP($B131,TABLA1!$B$14:$BF$1596,10+15,FALSE),"-")="BIDIECCIONAL","50N-2","-"))</f>
        <v>-</v>
      </c>
      <c r="H136" s="12"/>
      <c r="I136" s="12" t="str">
        <f>IFERROR(VLOOKUP($B131,TABLA1!$B$14:$BF$1596,48,FALSE),"-")</f>
        <v>-</v>
      </c>
      <c r="J136" s="18" t="str">
        <f>IFERROR(VLOOKUP($B131,TABLA1!$B$14:$BF$1596,47,FALSE),"-")</f>
        <v>-</v>
      </c>
      <c r="K136" s="12" t="str">
        <f>IFERROR(VLOOKUP($B131,TABLA1!$B$14:$BF$1596,49,FALSE),"-")</f>
        <v>-</v>
      </c>
      <c r="L136" s="18" t="str">
        <f>IFERROR(VLOOKUP($B131,TABLA1!$B$14:$BF$1596,50,FALSE),"-")</f>
        <v>-</v>
      </c>
      <c r="M136" s="12"/>
      <c r="N136" s="12"/>
    </row>
    <row r="137" spans="2:14" x14ac:dyDescent="0.25">
      <c r="B137" s="22">
        <f>TABLA1!B36</f>
        <v>0</v>
      </c>
      <c r="C137" s="89" t="e">
        <f>VLOOKUP(B137,TABLA1!$B$14:$BF$1596,2,FALSE)</f>
        <v>#N/A</v>
      </c>
      <c r="D137" s="89" t="e">
        <f>VLOOKUP(B137,TABLA1!$B$14:$BF$1596,3,FALSE)</f>
        <v>#N/A</v>
      </c>
      <c r="E137" s="89" t="e">
        <f>VLOOKUP(B137,TABLA1!$B$14:$BF$1596,6,FALSE)&amp;"/"&amp;VLOOKUP(B137,TABLA1!$B$14:$BF$1596,7,FALSE)</f>
        <v>#N/A</v>
      </c>
      <c r="F137" s="89" t="e">
        <f>VLOOKUP(B137,TABLA1!$B$14:$BF$1596,8,FALSE)</f>
        <v>#N/A</v>
      </c>
      <c r="G137" s="54" t="str">
        <f>IF(IFERROR(VLOOKUP($B137,TABLA1!$B$14:$BF$1596,10,FALSE),"-")="ADELANTE","67-1",IF(IFERROR(VLOOKUP($B137,TABLA1!$B$14:$BF$1596,10,FALSE),"-")="BIDIECCIONAL","51","-"))</f>
        <v>-</v>
      </c>
      <c r="H137" s="54">
        <v>900</v>
      </c>
      <c r="I137" s="12" t="str">
        <f>IFERROR(VLOOKUP($B137,TABLA1!$B$14:$BF$1596,28,FALSE),"-")</f>
        <v>-</v>
      </c>
      <c r="J137" s="18" t="str">
        <f>IFERROR(VLOOKUP($B137,TABLA1!$B$14:$BF$1596,27,FALSE),"-")</f>
        <v>-</v>
      </c>
      <c r="K137" s="12" t="str">
        <f>IFERROR(VLOOKUP($B137,TABLA1!$B$14:$BF$1596,29,FALSE),"-")</f>
        <v>-</v>
      </c>
      <c r="L137" s="18" t="str">
        <f>IFERROR(VLOOKUP($B137,TABLA1!$B$14:$BF$1596,30,FALSE),"-")</f>
        <v>-</v>
      </c>
      <c r="M137" s="19"/>
      <c r="N137" s="19"/>
    </row>
    <row r="138" spans="2:14" x14ac:dyDescent="0.25">
      <c r="C138" s="90"/>
      <c r="D138" s="90"/>
      <c r="E138" s="90"/>
      <c r="F138" s="90"/>
      <c r="G138" s="12" t="str">
        <f>IF(IFERROR(VLOOKUP($B137,TABLA1!$B$14:$BF$1596,10+3,FALSE),"-")="ADELANTE","67-2",IF(IFERROR(VLOOKUP($B137,TABLA1!$B$14:$BF$1596,10+3,FALSE),"-")="BIDIECCIONAL","50-1","-"))</f>
        <v>-</v>
      </c>
      <c r="H138" s="12"/>
      <c r="I138" s="12" t="str">
        <f>IFERROR(VLOOKUP($B137,TABLA1!$B$14:$BF$1596,32,FALSE),"-")</f>
        <v>-</v>
      </c>
      <c r="J138" s="18" t="str">
        <f>IFERROR(VLOOKUP($B137,TABLA1!$B$14:$BF$1596,31,FALSE),"-")</f>
        <v>-</v>
      </c>
      <c r="K138" s="12" t="str">
        <f>IFERROR(VLOOKUP($B137,TABLA1!$B$14:$BF$1596,33,FALSE),"-")</f>
        <v>-</v>
      </c>
      <c r="L138" s="18" t="str">
        <f>IFERROR(VLOOKUP($B137,TABLA1!$B$14:$BF$1596,34,FALSE),"-")</f>
        <v>-</v>
      </c>
      <c r="M138" s="12"/>
      <c r="N138" s="12"/>
    </row>
    <row r="139" spans="2:14" x14ac:dyDescent="0.25">
      <c r="C139" s="90"/>
      <c r="D139" s="90"/>
      <c r="E139" s="90"/>
      <c r="F139" s="90"/>
      <c r="G139" s="12" t="str">
        <f>IF(IFERROR(VLOOKUP($B137,TABLA1!$B$14:$BF$1596,10+6,FALSE),"-")="ADELANTE","67-3",IF(IFERROR(VLOOKUP($B137,TABLA1!$B$14:$BF$1596,10+6,FALSE),"-")="BIDIECCIONAL","50-2","-"))</f>
        <v>-</v>
      </c>
      <c r="H139" s="12"/>
      <c r="I139" s="12" t="str">
        <f>IFERROR(VLOOKUP($B137,TABLA1!$B$14:$BF$1596,36,FALSE),"-")</f>
        <v>-</v>
      </c>
      <c r="J139" s="18" t="str">
        <f>IFERROR(VLOOKUP($B137,TABLA1!$B$14:$BF$1596,35,FALSE),"-")</f>
        <v>-</v>
      </c>
      <c r="K139" s="12" t="str">
        <f>IFERROR(VLOOKUP($B137,TABLA1!$B$14:$BF$1596,37,FALSE),"-")</f>
        <v>-</v>
      </c>
      <c r="L139" s="18" t="str">
        <f>IFERROR(VLOOKUP($B137,TABLA1!$B$14:$BF$1596,38,FALSE),"-")</f>
        <v>-</v>
      </c>
      <c r="M139" s="12"/>
      <c r="N139" s="12"/>
    </row>
    <row r="140" spans="2:14" x14ac:dyDescent="0.25">
      <c r="C140" s="90"/>
      <c r="D140" s="90"/>
      <c r="E140" s="90"/>
      <c r="F140" s="90"/>
      <c r="G140" s="12" t="str">
        <f>IF(IFERROR(VLOOKUP($B137,TABLA1!$B$14:$BF$1596,10+9,FALSE),"-")="ADELANTE","67N-1",IF(IFERROR(VLOOKUP($B137,TABLA1!$B$14:$BF$1596,10+9,FALSE),"-")="BIDIECCIONAL","51N","-"))</f>
        <v>-</v>
      </c>
      <c r="H140" s="12"/>
      <c r="I140" s="12" t="str">
        <f>IFERROR(VLOOKUP($B137,TABLA1!$B$14:$BF$1596,40,FALSE),"-")</f>
        <v>-</v>
      </c>
      <c r="J140" s="18" t="str">
        <f>IFERROR(VLOOKUP($B137,TABLA1!$B$14:$BF$1596,39,FALSE),"-")</f>
        <v>-</v>
      </c>
      <c r="K140" s="12" t="str">
        <f>IFERROR(VLOOKUP($B137,TABLA1!$B$14:$BF$1596,41,FALSE),"-")</f>
        <v>-</v>
      </c>
      <c r="L140" s="18" t="str">
        <f>IFERROR(VLOOKUP($B137,TABLA1!$B$14:$BF$1596,42,FALSE),"-")</f>
        <v>-</v>
      </c>
      <c r="M140" s="12"/>
      <c r="N140" s="12"/>
    </row>
    <row r="141" spans="2:14" x14ac:dyDescent="0.25">
      <c r="C141" s="90"/>
      <c r="D141" s="90"/>
      <c r="E141" s="90"/>
      <c r="F141" s="90"/>
      <c r="G141" s="12" t="str">
        <f>IF(IFERROR(VLOOKUP($B137,TABLA1!$B$14:$BF$1596,10+12,FALSE),"-")="ADELANTE","67N-2",IF(IFERROR(VLOOKUP($B137,TABLA1!$B$14:$BF$1596,10+12,FALSE),"-")="BIDIECCIONAL","50N/1","-"))</f>
        <v>-</v>
      </c>
      <c r="H141" s="12"/>
      <c r="I141" s="12" t="str">
        <f>IFERROR(VLOOKUP($B137,TABLA1!$B$14:$BF$1596,44,FALSE),"-")</f>
        <v>-</v>
      </c>
      <c r="J141" s="18" t="str">
        <f>IFERROR(VLOOKUP($B137,TABLA1!$B$14:$BF$1596,43,FALSE),"-")</f>
        <v>-</v>
      </c>
      <c r="K141" s="12" t="str">
        <f>IFERROR(VLOOKUP($B137,TABLA1!$B$14:$BF$1596,45,FALSE),"-")</f>
        <v>-</v>
      </c>
      <c r="L141" s="18" t="str">
        <f>IFERROR(VLOOKUP($B137,TABLA1!$B$14:$BF$1596,46,FALSE),"-")</f>
        <v>-</v>
      </c>
      <c r="M141" s="12"/>
      <c r="N141" s="12"/>
    </row>
    <row r="142" spans="2:14" x14ac:dyDescent="0.25">
      <c r="C142" s="91"/>
      <c r="D142" s="91"/>
      <c r="E142" s="91"/>
      <c r="F142" s="91"/>
      <c r="G142" s="12" t="str">
        <f>IF(IFERROR(VLOOKUP($B137,TABLA1!$B$14:$BF$1596,10+15,FALSE),"-")="ADELANTE","67N-3",IF(IFERROR(VLOOKUP($B137,TABLA1!$B$14:$BF$1596,10+15,FALSE),"-")="BIDIECCIONAL","50N-2","-"))</f>
        <v>-</v>
      </c>
      <c r="H142" s="12"/>
      <c r="I142" s="12" t="str">
        <f>IFERROR(VLOOKUP($B137,TABLA1!$B$14:$BF$1596,48,FALSE),"-")</f>
        <v>-</v>
      </c>
      <c r="J142" s="18" t="str">
        <f>IFERROR(VLOOKUP($B137,TABLA1!$B$14:$BF$1596,47,FALSE),"-")</f>
        <v>-</v>
      </c>
      <c r="K142" s="12" t="str">
        <f>IFERROR(VLOOKUP($B137,TABLA1!$B$14:$BF$1596,49,FALSE),"-")</f>
        <v>-</v>
      </c>
      <c r="L142" s="18" t="str">
        <f>IFERROR(VLOOKUP($B137,TABLA1!$B$14:$BF$1596,50,FALSE),"-")</f>
        <v>-</v>
      </c>
      <c r="M142" s="12"/>
      <c r="N142" s="12"/>
    </row>
    <row r="143" spans="2:14" x14ac:dyDescent="0.25">
      <c r="B143" s="22">
        <f>TABLA1!B37</f>
        <v>0</v>
      </c>
      <c r="C143" s="89" t="e">
        <f>VLOOKUP(B143,TABLA1!$B$14:$BF$1596,2,FALSE)</f>
        <v>#N/A</v>
      </c>
      <c r="D143" s="89" t="e">
        <f>VLOOKUP(B143,TABLA1!$B$14:$BF$1596,3,FALSE)</f>
        <v>#N/A</v>
      </c>
      <c r="E143" s="89" t="e">
        <f>VLOOKUP(B143,TABLA1!$B$14:$BF$1596,6,FALSE)&amp;"/"&amp;VLOOKUP(B143,TABLA1!$B$14:$BF$1596,7,FALSE)</f>
        <v>#N/A</v>
      </c>
      <c r="F143" s="89" t="e">
        <f>VLOOKUP(B143,TABLA1!$B$14:$BF$1596,8,FALSE)</f>
        <v>#N/A</v>
      </c>
      <c r="G143" s="54" t="str">
        <f>IF(IFERROR(VLOOKUP($B143,TABLA1!$B$14:$BF$1596,10,FALSE),"-")="ADELANTE","67-1",IF(IFERROR(VLOOKUP($B143,TABLA1!$B$14:$BF$1596,10,FALSE),"-")="BIDIECCIONAL","51","-"))</f>
        <v>-</v>
      </c>
      <c r="H143" s="54">
        <v>900</v>
      </c>
      <c r="I143" s="12" t="str">
        <f>IFERROR(VLOOKUP($B143,TABLA1!$B$14:$BF$1596,28,FALSE),"-")</f>
        <v>-</v>
      </c>
      <c r="J143" s="18" t="str">
        <f>IFERROR(VLOOKUP($B143,TABLA1!$B$14:$BF$1596,27,FALSE),"-")</f>
        <v>-</v>
      </c>
      <c r="K143" s="12" t="str">
        <f>IFERROR(VLOOKUP($B143,TABLA1!$B$14:$BF$1596,29,FALSE),"-")</f>
        <v>-</v>
      </c>
      <c r="L143" s="18" t="str">
        <f>IFERROR(VLOOKUP($B143,TABLA1!$B$14:$BF$1596,30,FALSE),"-")</f>
        <v>-</v>
      </c>
      <c r="M143" s="19"/>
      <c r="N143" s="19"/>
    </row>
    <row r="144" spans="2:14" x14ac:dyDescent="0.25">
      <c r="C144" s="90"/>
      <c r="D144" s="90"/>
      <c r="E144" s="90"/>
      <c r="F144" s="90"/>
      <c r="G144" s="12" t="str">
        <f>IF(IFERROR(VLOOKUP($B143,TABLA1!$B$14:$BF$1596,10+3,FALSE),"-")="ADELANTE","67-2",IF(IFERROR(VLOOKUP($B143,TABLA1!$B$14:$BF$1596,10+3,FALSE),"-")="BIDIECCIONAL","50-1","-"))</f>
        <v>-</v>
      </c>
      <c r="H144" s="12"/>
      <c r="I144" s="12" t="str">
        <f>IFERROR(VLOOKUP($B143,TABLA1!$B$14:$BF$1596,32,FALSE),"-")</f>
        <v>-</v>
      </c>
      <c r="J144" s="18" t="str">
        <f>IFERROR(VLOOKUP($B143,TABLA1!$B$14:$BF$1596,31,FALSE),"-")</f>
        <v>-</v>
      </c>
      <c r="K144" s="12" t="str">
        <f>IFERROR(VLOOKUP($B143,TABLA1!$B$14:$BF$1596,33,FALSE),"-")</f>
        <v>-</v>
      </c>
      <c r="L144" s="18" t="str">
        <f>IFERROR(VLOOKUP($B143,TABLA1!$B$14:$BF$1596,34,FALSE),"-")</f>
        <v>-</v>
      </c>
      <c r="M144" s="12"/>
      <c r="N144" s="12"/>
    </row>
    <row r="145" spans="2:14" x14ac:dyDescent="0.25">
      <c r="C145" s="90"/>
      <c r="D145" s="90"/>
      <c r="E145" s="90"/>
      <c r="F145" s="90"/>
      <c r="G145" s="12" t="str">
        <f>IF(IFERROR(VLOOKUP($B143,TABLA1!$B$14:$BF$1596,10+6,FALSE),"-")="ADELANTE","67-3",IF(IFERROR(VLOOKUP($B143,TABLA1!$B$14:$BF$1596,10+6,FALSE),"-")="BIDIECCIONAL","50-2","-"))</f>
        <v>-</v>
      </c>
      <c r="H145" s="12"/>
      <c r="I145" s="12" t="str">
        <f>IFERROR(VLOOKUP($B143,TABLA1!$B$14:$BF$1596,36,FALSE),"-")</f>
        <v>-</v>
      </c>
      <c r="J145" s="18" t="str">
        <f>IFERROR(VLOOKUP($B143,TABLA1!$B$14:$BF$1596,35,FALSE),"-")</f>
        <v>-</v>
      </c>
      <c r="K145" s="12" t="str">
        <f>IFERROR(VLOOKUP($B143,TABLA1!$B$14:$BF$1596,37,FALSE),"-")</f>
        <v>-</v>
      </c>
      <c r="L145" s="18" t="str">
        <f>IFERROR(VLOOKUP($B143,TABLA1!$B$14:$BF$1596,38,FALSE),"-")</f>
        <v>-</v>
      </c>
      <c r="M145" s="12"/>
      <c r="N145" s="12"/>
    </row>
    <row r="146" spans="2:14" x14ac:dyDescent="0.25">
      <c r="C146" s="90"/>
      <c r="D146" s="90"/>
      <c r="E146" s="90"/>
      <c r="F146" s="90"/>
      <c r="G146" s="12" t="str">
        <f>IF(IFERROR(VLOOKUP($B143,TABLA1!$B$14:$BF$1596,10+9,FALSE),"-")="ADELANTE","67N-1",IF(IFERROR(VLOOKUP($B143,TABLA1!$B$14:$BF$1596,10+9,FALSE),"-")="BIDIECCIONAL","51N","-"))</f>
        <v>-</v>
      </c>
      <c r="H146" s="12"/>
      <c r="I146" s="12" t="str">
        <f>IFERROR(VLOOKUP($B143,TABLA1!$B$14:$BF$1596,40,FALSE),"-")</f>
        <v>-</v>
      </c>
      <c r="J146" s="18" t="str">
        <f>IFERROR(VLOOKUP($B143,TABLA1!$B$14:$BF$1596,39,FALSE),"-")</f>
        <v>-</v>
      </c>
      <c r="K146" s="12" t="str">
        <f>IFERROR(VLOOKUP($B143,TABLA1!$B$14:$BF$1596,41,FALSE),"-")</f>
        <v>-</v>
      </c>
      <c r="L146" s="18" t="str">
        <f>IFERROR(VLOOKUP($B143,TABLA1!$B$14:$BF$1596,42,FALSE),"-")</f>
        <v>-</v>
      </c>
      <c r="M146" s="12"/>
      <c r="N146" s="12"/>
    </row>
    <row r="147" spans="2:14" x14ac:dyDescent="0.25">
      <c r="C147" s="90"/>
      <c r="D147" s="90"/>
      <c r="E147" s="90"/>
      <c r="F147" s="90"/>
      <c r="G147" s="12" t="str">
        <f>IF(IFERROR(VLOOKUP($B143,TABLA1!$B$14:$BF$1596,10+12,FALSE),"-")="ADELANTE","67N-2",IF(IFERROR(VLOOKUP($B143,TABLA1!$B$14:$BF$1596,10+12,FALSE),"-")="BIDIECCIONAL","50N/1","-"))</f>
        <v>-</v>
      </c>
      <c r="H147" s="12"/>
      <c r="I147" s="12" t="str">
        <f>IFERROR(VLOOKUP($B143,TABLA1!$B$14:$BF$1596,44,FALSE),"-")</f>
        <v>-</v>
      </c>
      <c r="J147" s="18" t="str">
        <f>IFERROR(VLOOKUP($B143,TABLA1!$B$14:$BF$1596,43,FALSE),"-")</f>
        <v>-</v>
      </c>
      <c r="K147" s="12" t="str">
        <f>IFERROR(VLOOKUP($B143,TABLA1!$B$14:$BF$1596,45,FALSE),"-")</f>
        <v>-</v>
      </c>
      <c r="L147" s="18" t="str">
        <f>IFERROR(VLOOKUP($B143,TABLA1!$B$14:$BF$1596,46,FALSE),"-")</f>
        <v>-</v>
      </c>
      <c r="M147" s="12"/>
      <c r="N147" s="12"/>
    </row>
    <row r="148" spans="2:14" x14ac:dyDescent="0.25">
      <c r="C148" s="91"/>
      <c r="D148" s="91"/>
      <c r="E148" s="91"/>
      <c r="F148" s="91"/>
      <c r="G148" s="12" t="str">
        <f>IF(IFERROR(VLOOKUP($B143,TABLA1!$B$14:$BF$1596,10+15,FALSE),"-")="ADELANTE","67N-3",IF(IFERROR(VLOOKUP($B143,TABLA1!$B$14:$BF$1596,10+15,FALSE),"-")="BIDIECCIONAL","50N-2","-"))</f>
        <v>-</v>
      </c>
      <c r="H148" s="12"/>
      <c r="I148" s="12" t="str">
        <f>IFERROR(VLOOKUP($B143,TABLA1!$B$14:$BF$1596,48,FALSE),"-")</f>
        <v>-</v>
      </c>
      <c r="J148" s="18" t="str">
        <f>IFERROR(VLOOKUP($B143,TABLA1!$B$14:$BF$1596,47,FALSE),"-")</f>
        <v>-</v>
      </c>
      <c r="K148" s="12" t="str">
        <f>IFERROR(VLOOKUP($B143,TABLA1!$B$14:$BF$1596,49,FALSE),"-")</f>
        <v>-</v>
      </c>
      <c r="L148" s="18" t="str">
        <f>IFERROR(VLOOKUP($B143,TABLA1!$B$14:$BF$1596,50,FALSE),"-")</f>
        <v>-</v>
      </c>
      <c r="M148" s="12"/>
      <c r="N148" s="12"/>
    </row>
    <row r="149" spans="2:14" x14ac:dyDescent="0.25">
      <c r="B149" s="22">
        <f>TABLA1!B38</f>
        <v>0</v>
      </c>
      <c r="C149" s="89" t="e">
        <f>VLOOKUP(B149,TABLA1!$B$14:$BF$1596,2,FALSE)</f>
        <v>#N/A</v>
      </c>
      <c r="D149" s="89" t="e">
        <f>VLOOKUP(B149,TABLA1!$B$14:$BF$1596,3,FALSE)</f>
        <v>#N/A</v>
      </c>
      <c r="E149" s="89" t="e">
        <f>VLOOKUP(B149,TABLA1!$B$14:$BF$1596,6,FALSE)&amp;"/"&amp;VLOOKUP(B149,TABLA1!$B$14:$BF$1596,7,FALSE)</f>
        <v>#N/A</v>
      </c>
      <c r="F149" s="89" t="e">
        <f>VLOOKUP(B149,TABLA1!$B$14:$BF$1596,8,FALSE)</f>
        <v>#N/A</v>
      </c>
      <c r="G149" s="54" t="str">
        <f>IF(IFERROR(VLOOKUP($B149,TABLA1!$B$14:$BF$1596,10,FALSE),"-")="ADELANTE","67-1",IF(IFERROR(VLOOKUP($B149,TABLA1!$B$14:$BF$1596,10,FALSE),"-")="BIDIECCIONAL","51","-"))</f>
        <v>-</v>
      </c>
      <c r="H149" s="54">
        <v>900</v>
      </c>
      <c r="I149" s="12" t="str">
        <f>IFERROR(VLOOKUP($B149,TABLA1!$B$14:$BF$1596,28,FALSE),"-")</f>
        <v>-</v>
      </c>
      <c r="J149" s="18" t="str">
        <f>IFERROR(VLOOKUP($B149,TABLA1!$B$14:$BF$1596,27,FALSE),"-")</f>
        <v>-</v>
      </c>
      <c r="K149" s="12" t="str">
        <f>IFERROR(VLOOKUP($B149,TABLA1!$B$14:$BF$1596,29,FALSE),"-")</f>
        <v>-</v>
      </c>
      <c r="L149" s="18" t="str">
        <f>IFERROR(VLOOKUP($B149,TABLA1!$B$14:$BF$1596,30,FALSE),"-")</f>
        <v>-</v>
      </c>
      <c r="M149" s="19"/>
      <c r="N149" s="19"/>
    </row>
    <row r="150" spans="2:14" x14ac:dyDescent="0.25">
      <c r="C150" s="90"/>
      <c r="D150" s="90"/>
      <c r="E150" s="90"/>
      <c r="F150" s="90"/>
      <c r="G150" s="12" t="str">
        <f>IF(IFERROR(VLOOKUP($B149,TABLA1!$B$14:$BF$1596,10+3,FALSE),"-")="ADELANTE","67-2",IF(IFERROR(VLOOKUP($B149,TABLA1!$B$14:$BF$1596,10+3,FALSE),"-")="BIDIECCIONAL","50-1","-"))</f>
        <v>-</v>
      </c>
      <c r="H150" s="12"/>
      <c r="I150" s="12" t="str">
        <f>IFERROR(VLOOKUP($B149,TABLA1!$B$14:$BF$1596,32,FALSE),"-")</f>
        <v>-</v>
      </c>
      <c r="J150" s="18" t="str">
        <f>IFERROR(VLOOKUP($B149,TABLA1!$B$14:$BF$1596,31,FALSE),"-")</f>
        <v>-</v>
      </c>
      <c r="K150" s="12" t="str">
        <f>IFERROR(VLOOKUP($B149,TABLA1!$B$14:$BF$1596,33,FALSE),"-")</f>
        <v>-</v>
      </c>
      <c r="L150" s="18" t="str">
        <f>IFERROR(VLOOKUP($B149,TABLA1!$B$14:$BF$1596,34,FALSE),"-")</f>
        <v>-</v>
      </c>
      <c r="M150" s="12"/>
      <c r="N150" s="12"/>
    </row>
    <row r="151" spans="2:14" x14ac:dyDescent="0.25">
      <c r="C151" s="90"/>
      <c r="D151" s="90"/>
      <c r="E151" s="90"/>
      <c r="F151" s="90"/>
      <c r="G151" s="12" t="str">
        <f>IF(IFERROR(VLOOKUP($B149,TABLA1!$B$14:$BF$1596,10+6,FALSE),"-")="ADELANTE","67-3",IF(IFERROR(VLOOKUP($B149,TABLA1!$B$14:$BF$1596,10+6,FALSE),"-")="BIDIECCIONAL","50-2","-"))</f>
        <v>-</v>
      </c>
      <c r="H151" s="12"/>
      <c r="I151" s="12" t="str">
        <f>IFERROR(VLOOKUP($B149,TABLA1!$B$14:$BF$1596,36,FALSE),"-")</f>
        <v>-</v>
      </c>
      <c r="J151" s="18" t="str">
        <f>IFERROR(VLOOKUP($B149,TABLA1!$B$14:$BF$1596,35,FALSE),"-")</f>
        <v>-</v>
      </c>
      <c r="K151" s="12" t="str">
        <f>IFERROR(VLOOKUP($B149,TABLA1!$B$14:$BF$1596,37,FALSE),"-")</f>
        <v>-</v>
      </c>
      <c r="L151" s="18" t="str">
        <f>IFERROR(VLOOKUP($B149,TABLA1!$B$14:$BF$1596,38,FALSE),"-")</f>
        <v>-</v>
      </c>
      <c r="M151" s="12"/>
      <c r="N151" s="12"/>
    </row>
    <row r="152" spans="2:14" x14ac:dyDescent="0.25">
      <c r="C152" s="90"/>
      <c r="D152" s="90"/>
      <c r="E152" s="90"/>
      <c r="F152" s="90"/>
      <c r="G152" s="12" t="str">
        <f>IF(IFERROR(VLOOKUP($B149,TABLA1!$B$14:$BF$1596,10+9,FALSE),"-")="ADELANTE","67N-1",IF(IFERROR(VLOOKUP($B149,TABLA1!$B$14:$BF$1596,10+9,FALSE),"-")="BIDIECCIONAL","51N","-"))</f>
        <v>-</v>
      </c>
      <c r="H152" s="12"/>
      <c r="I152" s="12" t="str">
        <f>IFERROR(VLOOKUP($B149,TABLA1!$B$14:$BF$1596,40,FALSE),"-")</f>
        <v>-</v>
      </c>
      <c r="J152" s="18" t="str">
        <f>IFERROR(VLOOKUP($B149,TABLA1!$B$14:$BF$1596,39,FALSE),"-")</f>
        <v>-</v>
      </c>
      <c r="K152" s="12" t="str">
        <f>IFERROR(VLOOKUP($B149,TABLA1!$B$14:$BF$1596,41,FALSE),"-")</f>
        <v>-</v>
      </c>
      <c r="L152" s="18" t="str">
        <f>IFERROR(VLOOKUP($B149,TABLA1!$B$14:$BF$1596,42,FALSE),"-")</f>
        <v>-</v>
      </c>
      <c r="M152" s="12"/>
      <c r="N152" s="12"/>
    </row>
    <row r="153" spans="2:14" x14ac:dyDescent="0.25">
      <c r="C153" s="90"/>
      <c r="D153" s="90"/>
      <c r="E153" s="90"/>
      <c r="F153" s="90"/>
      <c r="G153" s="12" t="str">
        <f>IF(IFERROR(VLOOKUP($B149,TABLA1!$B$14:$BF$1596,10+12,FALSE),"-")="ADELANTE","67N-2",IF(IFERROR(VLOOKUP($B149,TABLA1!$B$14:$BF$1596,10+12,FALSE),"-")="BIDIECCIONAL","50N/1","-"))</f>
        <v>-</v>
      </c>
      <c r="H153" s="12"/>
      <c r="I153" s="12" t="str">
        <f>IFERROR(VLOOKUP($B149,TABLA1!$B$14:$BF$1596,44,FALSE),"-")</f>
        <v>-</v>
      </c>
      <c r="J153" s="18" t="str">
        <f>IFERROR(VLOOKUP($B149,TABLA1!$B$14:$BF$1596,43,FALSE),"-")</f>
        <v>-</v>
      </c>
      <c r="K153" s="12" t="str">
        <f>IFERROR(VLOOKUP($B149,TABLA1!$B$14:$BF$1596,45,FALSE),"-")</f>
        <v>-</v>
      </c>
      <c r="L153" s="18" t="str">
        <f>IFERROR(VLOOKUP($B149,TABLA1!$B$14:$BF$1596,46,FALSE),"-")</f>
        <v>-</v>
      </c>
      <c r="M153" s="12"/>
      <c r="N153" s="12"/>
    </row>
    <row r="154" spans="2:14" x14ac:dyDescent="0.25">
      <c r="C154" s="91"/>
      <c r="D154" s="91"/>
      <c r="E154" s="91"/>
      <c r="F154" s="91"/>
      <c r="G154" s="12" t="str">
        <f>IF(IFERROR(VLOOKUP($B149,TABLA1!$B$14:$BF$1596,10+15,FALSE),"-")="ADELANTE","67N-3",IF(IFERROR(VLOOKUP($B149,TABLA1!$B$14:$BF$1596,10+15,FALSE),"-")="BIDIECCIONAL","50N-2","-"))</f>
        <v>-</v>
      </c>
      <c r="H154" s="12"/>
      <c r="I154" s="12" t="str">
        <f>IFERROR(VLOOKUP($B149,TABLA1!$B$14:$BF$1596,48,FALSE),"-")</f>
        <v>-</v>
      </c>
      <c r="J154" s="18" t="str">
        <f>IFERROR(VLOOKUP($B149,TABLA1!$B$14:$BF$1596,47,FALSE),"-")</f>
        <v>-</v>
      </c>
      <c r="K154" s="12" t="str">
        <f>IFERROR(VLOOKUP($B149,TABLA1!$B$14:$BF$1596,49,FALSE),"-")</f>
        <v>-</v>
      </c>
      <c r="L154" s="18" t="str">
        <f>IFERROR(VLOOKUP($B149,TABLA1!$B$14:$BF$1596,50,FALSE),"-")</f>
        <v>-</v>
      </c>
      <c r="M154" s="12"/>
      <c r="N154" s="12"/>
    </row>
    <row r="155" spans="2:14" x14ac:dyDescent="0.25">
      <c r="B155" s="22">
        <f>TABLA1!B39</f>
        <v>0</v>
      </c>
      <c r="C155" s="89" t="e">
        <f>VLOOKUP(B155,TABLA1!$B$14:$BF$1596,2,FALSE)</f>
        <v>#N/A</v>
      </c>
      <c r="D155" s="89" t="e">
        <f>VLOOKUP(B155,TABLA1!$B$14:$BF$1596,3,FALSE)</f>
        <v>#N/A</v>
      </c>
      <c r="E155" s="89" t="e">
        <f>VLOOKUP(B155,TABLA1!$B$14:$BF$1596,6,FALSE)&amp;"/"&amp;VLOOKUP(B155,TABLA1!$B$14:$BF$1596,7,FALSE)</f>
        <v>#N/A</v>
      </c>
      <c r="F155" s="89" t="e">
        <f>VLOOKUP(B155,TABLA1!$B$14:$BF$1596,8,FALSE)</f>
        <v>#N/A</v>
      </c>
      <c r="G155" s="54" t="str">
        <f>IF(IFERROR(VLOOKUP($B155,TABLA1!$B$14:$BF$1596,10,FALSE),"-")="ADELANTE","67-1",IF(IFERROR(VLOOKUP($B155,TABLA1!$B$14:$BF$1596,10,FALSE),"-")="BIDIECCIONAL","51","-"))</f>
        <v>-</v>
      </c>
      <c r="H155" s="54">
        <v>900</v>
      </c>
      <c r="I155" s="12" t="str">
        <f>IFERROR(VLOOKUP($B155,TABLA1!$B$14:$BF$1596,28,FALSE),"-")</f>
        <v>-</v>
      </c>
      <c r="J155" s="18" t="str">
        <f>IFERROR(VLOOKUP($B155,TABLA1!$B$14:$BF$1596,27,FALSE),"-")</f>
        <v>-</v>
      </c>
      <c r="K155" s="12" t="str">
        <f>IFERROR(VLOOKUP($B155,TABLA1!$B$14:$BF$1596,29,FALSE),"-")</f>
        <v>-</v>
      </c>
      <c r="L155" s="18" t="str">
        <f>IFERROR(VLOOKUP($B155,TABLA1!$B$14:$BF$1596,30,FALSE),"-")</f>
        <v>-</v>
      </c>
      <c r="M155" s="19"/>
      <c r="N155" s="19"/>
    </row>
    <row r="156" spans="2:14" x14ac:dyDescent="0.25">
      <c r="C156" s="90"/>
      <c r="D156" s="90"/>
      <c r="E156" s="90"/>
      <c r="F156" s="90"/>
      <c r="G156" s="12" t="str">
        <f>IF(IFERROR(VLOOKUP($B155,TABLA1!$B$14:$BF$1596,10+3,FALSE),"-")="ADELANTE","67-2",IF(IFERROR(VLOOKUP($B155,TABLA1!$B$14:$BF$1596,10+3,FALSE),"-")="BIDIECCIONAL","50-1","-"))</f>
        <v>-</v>
      </c>
      <c r="H156" s="12"/>
      <c r="I156" s="12" t="str">
        <f>IFERROR(VLOOKUP($B155,TABLA1!$B$14:$BF$1596,32,FALSE),"-")</f>
        <v>-</v>
      </c>
      <c r="J156" s="18" t="str">
        <f>IFERROR(VLOOKUP($B155,TABLA1!$B$14:$BF$1596,31,FALSE),"-")</f>
        <v>-</v>
      </c>
      <c r="K156" s="12" t="str">
        <f>IFERROR(VLOOKUP($B155,TABLA1!$B$14:$BF$1596,33,FALSE),"-")</f>
        <v>-</v>
      </c>
      <c r="L156" s="18" t="str">
        <f>IFERROR(VLOOKUP($B155,TABLA1!$B$14:$BF$1596,34,FALSE),"-")</f>
        <v>-</v>
      </c>
      <c r="M156" s="12"/>
      <c r="N156" s="12"/>
    </row>
    <row r="157" spans="2:14" x14ac:dyDescent="0.25">
      <c r="C157" s="90"/>
      <c r="D157" s="90"/>
      <c r="E157" s="90"/>
      <c r="F157" s="90"/>
      <c r="G157" s="12" t="str">
        <f>IF(IFERROR(VLOOKUP($B155,TABLA1!$B$14:$BF$1596,10+6,FALSE),"-")="ADELANTE","67-3",IF(IFERROR(VLOOKUP($B155,TABLA1!$B$14:$BF$1596,10+6,FALSE),"-")="BIDIECCIONAL","50-2","-"))</f>
        <v>-</v>
      </c>
      <c r="H157" s="12"/>
      <c r="I157" s="12" t="str">
        <f>IFERROR(VLOOKUP($B155,TABLA1!$B$14:$BF$1596,36,FALSE),"-")</f>
        <v>-</v>
      </c>
      <c r="J157" s="18" t="str">
        <f>IFERROR(VLOOKUP($B155,TABLA1!$B$14:$BF$1596,35,FALSE),"-")</f>
        <v>-</v>
      </c>
      <c r="K157" s="12" t="str">
        <f>IFERROR(VLOOKUP($B155,TABLA1!$B$14:$BF$1596,37,FALSE),"-")</f>
        <v>-</v>
      </c>
      <c r="L157" s="18" t="str">
        <f>IFERROR(VLOOKUP($B155,TABLA1!$B$14:$BF$1596,38,FALSE),"-")</f>
        <v>-</v>
      </c>
      <c r="M157" s="12"/>
      <c r="N157" s="12"/>
    </row>
    <row r="158" spans="2:14" x14ac:dyDescent="0.25">
      <c r="C158" s="90"/>
      <c r="D158" s="90"/>
      <c r="E158" s="90"/>
      <c r="F158" s="90"/>
      <c r="G158" s="12" t="str">
        <f>IF(IFERROR(VLOOKUP($B155,TABLA1!$B$14:$BF$1596,10+9,FALSE),"-")="ADELANTE","67N-1",IF(IFERROR(VLOOKUP($B155,TABLA1!$B$14:$BF$1596,10+9,FALSE),"-")="BIDIECCIONAL","51N","-"))</f>
        <v>-</v>
      </c>
      <c r="H158" s="12"/>
      <c r="I158" s="12" t="str">
        <f>IFERROR(VLOOKUP($B155,TABLA1!$B$14:$BF$1596,40,FALSE),"-")</f>
        <v>-</v>
      </c>
      <c r="J158" s="18" t="str">
        <f>IFERROR(VLOOKUP($B155,TABLA1!$B$14:$BF$1596,39,FALSE),"-")</f>
        <v>-</v>
      </c>
      <c r="K158" s="12" t="str">
        <f>IFERROR(VLOOKUP($B155,TABLA1!$B$14:$BF$1596,41,FALSE),"-")</f>
        <v>-</v>
      </c>
      <c r="L158" s="18" t="str">
        <f>IFERROR(VLOOKUP($B155,TABLA1!$B$14:$BF$1596,42,FALSE),"-")</f>
        <v>-</v>
      </c>
      <c r="M158" s="12"/>
      <c r="N158" s="12"/>
    </row>
    <row r="159" spans="2:14" x14ac:dyDescent="0.25">
      <c r="C159" s="90"/>
      <c r="D159" s="90"/>
      <c r="E159" s="90"/>
      <c r="F159" s="90"/>
      <c r="G159" s="12" t="str">
        <f>IF(IFERROR(VLOOKUP($B155,TABLA1!$B$14:$BF$1596,10+12,FALSE),"-")="ADELANTE","67N-2",IF(IFERROR(VLOOKUP($B155,TABLA1!$B$14:$BF$1596,10+12,FALSE),"-")="BIDIECCIONAL","50N/1","-"))</f>
        <v>-</v>
      </c>
      <c r="H159" s="12"/>
      <c r="I159" s="12" t="str">
        <f>IFERROR(VLOOKUP($B155,TABLA1!$B$14:$BF$1596,44,FALSE),"-")</f>
        <v>-</v>
      </c>
      <c r="J159" s="18" t="str">
        <f>IFERROR(VLOOKUP($B155,TABLA1!$B$14:$BF$1596,43,FALSE),"-")</f>
        <v>-</v>
      </c>
      <c r="K159" s="12" t="str">
        <f>IFERROR(VLOOKUP($B155,TABLA1!$B$14:$BF$1596,45,FALSE),"-")</f>
        <v>-</v>
      </c>
      <c r="L159" s="18" t="str">
        <f>IFERROR(VLOOKUP($B155,TABLA1!$B$14:$BF$1596,46,FALSE),"-")</f>
        <v>-</v>
      </c>
      <c r="M159" s="12"/>
      <c r="N159" s="12"/>
    </row>
    <row r="160" spans="2:14" x14ac:dyDescent="0.25">
      <c r="C160" s="91"/>
      <c r="D160" s="91"/>
      <c r="E160" s="91"/>
      <c r="F160" s="91"/>
      <c r="G160" s="12" t="str">
        <f>IF(IFERROR(VLOOKUP($B155,TABLA1!$B$14:$BF$1596,10+15,FALSE),"-")="ADELANTE","67N-3",IF(IFERROR(VLOOKUP($B155,TABLA1!$B$14:$BF$1596,10+15,FALSE),"-")="BIDIECCIONAL","50N-2","-"))</f>
        <v>-</v>
      </c>
      <c r="H160" s="12"/>
      <c r="I160" s="12" t="str">
        <f>IFERROR(VLOOKUP($B155,TABLA1!$B$14:$BF$1596,48,FALSE),"-")</f>
        <v>-</v>
      </c>
      <c r="J160" s="18" t="str">
        <f>IFERROR(VLOOKUP($B155,TABLA1!$B$14:$BF$1596,47,FALSE),"-")</f>
        <v>-</v>
      </c>
      <c r="K160" s="12" t="str">
        <f>IFERROR(VLOOKUP($B155,TABLA1!$B$14:$BF$1596,49,FALSE),"-")</f>
        <v>-</v>
      </c>
      <c r="L160" s="18" t="str">
        <f>IFERROR(VLOOKUP($B155,TABLA1!$B$14:$BF$1596,50,FALSE),"-")</f>
        <v>-</v>
      </c>
      <c r="M160" s="12"/>
      <c r="N160" s="12"/>
    </row>
    <row r="161" spans="2:14" x14ac:dyDescent="0.25">
      <c r="B161" s="22">
        <f>TABLA1!B40</f>
        <v>0</v>
      </c>
      <c r="C161" s="89" t="e">
        <f>VLOOKUP(B161,TABLA1!$B$14:$BF$1596,2,FALSE)</f>
        <v>#N/A</v>
      </c>
      <c r="D161" s="89" t="e">
        <f>VLOOKUP(B161,TABLA1!$B$14:$BF$1596,3,FALSE)</f>
        <v>#N/A</v>
      </c>
      <c r="E161" s="89" t="e">
        <f>VLOOKUP(B161,TABLA1!$B$14:$BF$1596,6,FALSE)&amp;"/"&amp;VLOOKUP(B161,TABLA1!$B$14:$BF$1596,7,FALSE)</f>
        <v>#N/A</v>
      </c>
      <c r="F161" s="89" t="e">
        <f>VLOOKUP(B161,TABLA1!$B$14:$BF$1596,8,FALSE)</f>
        <v>#N/A</v>
      </c>
      <c r="G161" s="54" t="str">
        <f>IF(IFERROR(VLOOKUP($B161,TABLA1!$B$14:$BF$1596,10,FALSE),"-")="ADELANTE","67-1",IF(IFERROR(VLOOKUP($B161,TABLA1!$B$14:$BF$1596,10,FALSE),"-")="BIDIECCIONAL","51","-"))</f>
        <v>-</v>
      </c>
      <c r="H161" s="54">
        <v>900</v>
      </c>
      <c r="I161" s="12" t="str">
        <f>IFERROR(VLOOKUP($B161,TABLA1!$B$14:$BF$1596,28,FALSE),"-")</f>
        <v>-</v>
      </c>
      <c r="J161" s="18" t="str">
        <f>IFERROR(VLOOKUP($B161,TABLA1!$B$14:$BF$1596,27,FALSE),"-")</f>
        <v>-</v>
      </c>
      <c r="K161" s="12" t="str">
        <f>IFERROR(VLOOKUP($B161,TABLA1!$B$14:$BF$1596,29,FALSE),"-")</f>
        <v>-</v>
      </c>
      <c r="L161" s="18" t="str">
        <f>IFERROR(VLOOKUP($B161,TABLA1!$B$14:$BF$1596,30,FALSE),"-")</f>
        <v>-</v>
      </c>
      <c r="M161" s="19"/>
      <c r="N161" s="19"/>
    </row>
    <row r="162" spans="2:14" x14ac:dyDescent="0.25">
      <c r="C162" s="90"/>
      <c r="D162" s="90"/>
      <c r="E162" s="90"/>
      <c r="F162" s="90"/>
      <c r="G162" s="12" t="str">
        <f>IF(IFERROR(VLOOKUP($B161,TABLA1!$B$14:$BF$1596,10+3,FALSE),"-")="ADELANTE","67-2",IF(IFERROR(VLOOKUP($B161,TABLA1!$B$14:$BF$1596,10+3,FALSE),"-")="BIDIECCIONAL","50-1","-"))</f>
        <v>-</v>
      </c>
      <c r="H162" s="12"/>
      <c r="I162" s="12" t="str">
        <f>IFERROR(VLOOKUP($B161,TABLA1!$B$14:$BF$1596,32,FALSE),"-")</f>
        <v>-</v>
      </c>
      <c r="J162" s="18" t="str">
        <f>IFERROR(VLOOKUP($B161,TABLA1!$B$14:$BF$1596,31,FALSE),"-")</f>
        <v>-</v>
      </c>
      <c r="K162" s="12" t="str">
        <f>IFERROR(VLOOKUP($B161,TABLA1!$B$14:$BF$1596,33,FALSE),"-")</f>
        <v>-</v>
      </c>
      <c r="L162" s="18" t="str">
        <f>IFERROR(VLOOKUP($B161,TABLA1!$B$14:$BF$1596,34,FALSE),"-")</f>
        <v>-</v>
      </c>
      <c r="M162" s="12"/>
      <c r="N162" s="12"/>
    </row>
    <row r="163" spans="2:14" x14ac:dyDescent="0.25">
      <c r="C163" s="90"/>
      <c r="D163" s="90"/>
      <c r="E163" s="90"/>
      <c r="F163" s="90"/>
      <c r="G163" s="12" t="str">
        <f>IF(IFERROR(VLOOKUP($B161,TABLA1!$B$14:$BF$1596,10+6,FALSE),"-")="ADELANTE","67-3",IF(IFERROR(VLOOKUP($B161,TABLA1!$B$14:$BF$1596,10+6,FALSE),"-")="BIDIECCIONAL","50-2","-"))</f>
        <v>-</v>
      </c>
      <c r="H163" s="12"/>
      <c r="I163" s="12" t="str">
        <f>IFERROR(VLOOKUP($B161,TABLA1!$B$14:$BF$1596,36,FALSE),"-")</f>
        <v>-</v>
      </c>
      <c r="J163" s="18" t="str">
        <f>IFERROR(VLOOKUP($B161,TABLA1!$B$14:$BF$1596,35,FALSE),"-")</f>
        <v>-</v>
      </c>
      <c r="K163" s="12" t="str">
        <f>IFERROR(VLOOKUP($B161,TABLA1!$B$14:$BF$1596,37,FALSE),"-")</f>
        <v>-</v>
      </c>
      <c r="L163" s="18" t="str">
        <f>IFERROR(VLOOKUP($B161,TABLA1!$B$14:$BF$1596,38,FALSE),"-")</f>
        <v>-</v>
      </c>
      <c r="M163" s="12"/>
      <c r="N163" s="12"/>
    </row>
    <row r="164" spans="2:14" x14ac:dyDescent="0.25">
      <c r="C164" s="90"/>
      <c r="D164" s="90"/>
      <c r="E164" s="90"/>
      <c r="F164" s="90"/>
      <c r="G164" s="12" t="str">
        <f>IF(IFERROR(VLOOKUP($B161,TABLA1!$B$14:$BF$1596,10+9,FALSE),"-")="ADELANTE","67N-1",IF(IFERROR(VLOOKUP($B161,TABLA1!$B$14:$BF$1596,10+9,FALSE),"-")="BIDIECCIONAL","51N","-"))</f>
        <v>-</v>
      </c>
      <c r="H164" s="12"/>
      <c r="I164" s="12" t="str">
        <f>IFERROR(VLOOKUP($B161,TABLA1!$B$14:$BF$1596,40,FALSE),"-")</f>
        <v>-</v>
      </c>
      <c r="J164" s="18" t="str">
        <f>IFERROR(VLOOKUP($B161,TABLA1!$B$14:$BF$1596,39,FALSE),"-")</f>
        <v>-</v>
      </c>
      <c r="K164" s="12" t="str">
        <f>IFERROR(VLOOKUP($B161,TABLA1!$B$14:$BF$1596,41,FALSE),"-")</f>
        <v>-</v>
      </c>
      <c r="L164" s="18" t="str">
        <f>IFERROR(VLOOKUP($B161,TABLA1!$B$14:$BF$1596,42,FALSE),"-")</f>
        <v>-</v>
      </c>
      <c r="M164" s="12"/>
      <c r="N164" s="12"/>
    </row>
    <row r="165" spans="2:14" x14ac:dyDescent="0.25">
      <c r="C165" s="90"/>
      <c r="D165" s="90"/>
      <c r="E165" s="90"/>
      <c r="F165" s="90"/>
      <c r="G165" s="12" t="str">
        <f>IF(IFERROR(VLOOKUP($B161,TABLA1!$B$14:$BF$1596,10+12,FALSE),"-")="ADELANTE","67N-2",IF(IFERROR(VLOOKUP($B161,TABLA1!$B$14:$BF$1596,10+12,FALSE),"-")="BIDIECCIONAL","50N/1","-"))</f>
        <v>-</v>
      </c>
      <c r="H165" s="12"/>
      <c r="I165" s="12" t="str">
        <f>IFERROR(VLOOKUP($B161,TABLA1!$B$14:$BF$1596,44,FALSE),"-")</f>
        <v>-</v>
      </c>
      <c r="J165" s="18" t="str">
        <f>IFERROR(VLOOKUP($B161,TABLA1!$B$14:$BF$1596,43,FALSE),"-")</f>
        <v>-</v>
      </c>
      <c r="K165" s="12" t="str">
        <f>IFERROR(VLOOKUP($B161,TABLA1!$B$14:$BF$1596,45,FALSE),"-")</f>
        <v>-</v>
      </c>
      <c r="L165" s="18" t="str">
        <f>IFERROR(VLOOKUP($B161,TABLA1!$B$14:$BF$1596,46,FALSE),"-")</f>
        <v>-</v>
      </c>
      <c r="M165" s="12"/>
      <c r="N165" s="12"/>
    </row>
    <row r="166" spans="2:14" x14ac:dyDescent="0.25">
      <c r="C166" s="91"/>
      <c r="D166" s="91"/>
      <c r="E166" s="91"/>
      <c r="F166" s="91"/>
      <c r="G166" s="12" t="str">
        <f>IF(IFERROR(VLOOKUP($B161,TABLA1!$B$14:$BF$1596,10+15,FALSE),"-")="ADELANTE","67N-3",IF(IFERROR(VLOOKUP($B161,TABLA1!$B$14:$BF$1596,10+15,FALSE),"-")="BIDIECCIONAL","50N-2","-"))</f>
        <v>-</v>
      </c>
      <c r="H166" s="12"/>
      <c r="I166" s="12" t="str">
        <f>IFERROR(VLOOKUP($B161,TABLA1!$B$14:$BF$1596,48,FALSE),"-")</f>
        <v>-</v>
      </c>
      <c r="J166" s="18" t="str">
        <f>IFERROR(VLOOKUP($B161,TABLA1!$B$14:$BF$1596,47,FALSE),"-")</f>
        <v>-</v>
      </c>
      <c r="K166" s="12" t="str">
        <f>IFERROR(VLOOKUP($B161,TABLA1!$B$14:$BF$1596,49,FALSE),"-")</f>
        <v>-</v>
      </c>
      <c r="L166" s="18" t="str">
        <f>IFERROR(VLOOKUP($B161,TABLA1!$B$14:$BF$1596,50,FALSE),"-")</f>
        <v>-</v>
      </c>
      <c r="M166" s="12"/>
      <c r="N166" s="12"/>
    </row>
  </sheetData>
  <autoFilter ref="C4:I5" xr:uid="{00000000-0009-0000-0000-000005000000}"/>
  <mergeCells count="122">
    <mergeCell ref="M3:M4"/>
    <mergeCell ref="N3:N4"/>
    <mergeCell ref="C5:C10"/>
    <mergeCell ref="D5:D10"/>
    <mergeCell ref="E5:E10"/>
    <mergeCell ref="F5:F10"/>
    <mergeCell ref="C1:N1"/>
    <mergeCell ref="C2:C4"/>
    <mergeCell ref="D2:D4"/>
    <mergeCell ref="G2:G4"/>
    <mergeCell ref="H2:H4"/>
    <mergeCell ref="I2:I4"/>
    <mergeCell ref="J2:J4"/>
    <mergeCell ref="K2:K4"/>
    <mergeCell ref="L2:L4"/>
    <mergeCell ref="M2:N2"/>
    <mergeCell ref="C11:C16"/>
    <mergeCell ref="D11:D16"/>
    <mergeCell ref="E11:E16"/>
    <mergeCell ref="F11:F16"/>
    <mergeCell ref="C17:C22"/>
    <mergeCell ref="D17:D22"/>
    <mergeCell ref="E17:E22"/>
    <mergeCell ref="F17:F22"/>
    <mergeCell ref="E3:E4"/>
    <mergeCell ref="F3:F4"/>
    <mergeCell ref="C35:C40"/>
    <mergeCell ref="D35:D40"/>
    <mergeCell ref="E35:E40"/>
    <mergeCell ref="F35:F40"/>
    <mergeCell ref="C41:C46"/>
    <mergeCell ref="D41:D46"/>
    <mergeCell ref="E41:E46"/>
    <mergeCell ref="F41:F46"/>
    <mergeCell ref="C23:C28"/>
    <mergeCell ref="D23:D28"/>
    <mergeCell ref="E23:E28"/>
    <mergeCell ref="F23:F28"/>
    <mergeCell ref="C29:C34"/>
    <mergeCell ref="D29:D34"/>
    <mergeCell ref="E29:E34"/>
    <mergeCell ref="F29:F34"/>
    <mergeCell ref="C59:C64"/>
    <mergeCell ref="D59:D64"/>
    <mergeCell ref="E59:E64"/>
    <mergeCell ref="F59:F64"/>
    <mergeCell ref="C65:C70"/>
    <mergeCell ref="D65:D70"/>
    <mergeCell ref="E65:E70"/>
    <mergeCell ref="F65:F70"/>
    <mergeCell ref="C47:C52"/>
    <mergeCell ref="D47:D52"/>
    <mergeCell ref="E47:E52"/>
    <mergeCell ref="F47:F52"/>
    <mergeCell ref="C53:C58"/>
    <mergeCell ref="D53:D58"/>
    <mergeCell ref="E53:E58"/>
    <mergeCell ref="F53:F58"/>
    <mergeCell ref="C83:C88"/>
    <mergeCell ref="D83:D88"/>
    <mergeCell ref="E83:E88"/>
    <mergeCell ref="F83:F88"/>
    <mergeCell ref="C89:C94"/>
    <mergeCell ref="D89:D94"/>
    <mergeCell ref="E89:E94"/>
    <mergeCell ref="F89:F94"/>
    <mergeCell ref="C71:C76"/>
    <mergeCell ref="D71:D76"/>
    <mergeCell ref="E71:E76"/>
    <mergeCell ref="F71:F76"/>
    <mergeCell ref="C77:C82"/>
    <mergeCell ref="D77:D82"/>
    <mergeCell ref="E77:E82"/>
    <mergeCell ref="F77:F82"/>
    <mergeCell ref="C107:C112"/>
    <mergeCell ref="D107:D112"/>
    <mergeCell ref="E107:E112"/>
    <mergeCell ref="F107:F112"/>
    <mergeCell ref="C113:C118"/>
    <mergeCell ref="D113:D118"/>
    <mergeCell ref="E113:E118"/>
    <mergeCell ref="F113:F118"/>
    <mergeCell ref="C95:C100"/>
    <mergeCell ref="D95:D100"/>
    <mergeCell ref="E95:E100"/>
    <mergeCell ref="F95:F100"/>
    <mergeCell ref="C101:C106"/>
    <mergeCell ref="D101:D106"/>
    <mergeCell ref="E101:E106"/>
    <mergeCell ref="F101:F106"/>
    <mergeCell ref="C131:C136"/>
    <mergeCell ref="D131:D136"/>
    <mergeCell ref="E131:E136"/>
    <mergeCell ref="F131:F136"/>
    <mergeCell ref="C137:C142"/>
    <mergeCell ref="D137:D142"/>
    <mergeCell ref="E137:E142"/>
    <mergeCell ref="F137:F142"/>
    <mergeCell ref="C119:C124"/>
    <mergeCell ref="D119:D124"/>
    <mergeCell ref="E119:E124"/>
    <mergeCell ref="F119:F124"/>
    <mergeCell ref="C125:C130"/>
    <mergeCell ref="D125:D130"/>
    <mergeCell ref="E125:E130"/>
    <mergeCell ref="F125:F130"/>
    <mergeCell ref="C155:C160"/>
    <mergeCell ref="D155:D160"/>
    <mergeCell ref="E155:E160"/>
    <mergeCell ref="F155:F160"/>
    <mergeCell ref="C161:C166"/>
    <mergeCell ref="D161:D166"/>
    <mergeCell ref="E161:E166"/>
    <mergeCell ref="F161:F166"/>
    <mergeCell ref="C143:C148"/>
    <mergeCell ref="D143:D148"/>
    <mergeCell ref="E143:E148"/>
    <mergeCell ref="F143:F148"/>
    <mergeCell ref="C149:C154"/>
    <mergeCell ref="D149:D154"/>
    <mergeCell ref="E149:E154"/>
    <mergeCell ref="F149:F154"/>
  </mergeCells>
  <pageMargins left="0.25" right="0.25" top="0.75" bottom="0.75" header="0.3" footer="0.3"/>
  <pageSetup paperSize="119" scale="80" fitToHeight="0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W12"/>
  <sheetViews>
    <sheetView workbookViewId="0">
      <selection sqref="A1:XFD1048576"/>
    </sheetView>
  </sheetViews>
  <sheetFormatPr baseColWidth="10" defaultRowHeight="15" x14ac:dyDescent="0.25"/>
  <cols>
    <col min="1" max="1" width="11.5703125" customWidth="1"/>
    <col min="2" max="2" width="12.42578125" bestFit="1" customWidth="1"/>
    <col min="3" max="3" width="14.28515625" bestFit="1" customWidth="1"/>
    <col min="4" max="4" width="24.5703125" hidden="1" customWidth="1"/>
    <col min="5" max="5" width="14.7109375" hidden="1" customWidth="1"/>
    <col min="6" max="6" width="14.7109375" customWidth="1"/>
    <col min="7" max="7" width="14.7109375" hidden="1" customWidth="1"/>
    <col min="8" max="8" width="14.7109375" customWidth="1"/>
    <col min="9" max="9" width="25.28515625" hidden="1" customWidth="1"/>
    <col min="10" max="10" width="7.5703125" hidden="1" customWidth="1"/>
    <col min="11" max="11" width="14.7109375" customWidth="1"/>
    <col min="12" max="12" width="8.28515625" hidden="1" customWidth="1"/>
    <col min="13" max="13" width="14.7109375" customWidth="1"/>
    <col min="14" max="14" width="26.42578125" hidden="1" customWidth="1"/>
    <col min="15" max="15" width="7.7109375" hidden="1" customWidth="1"/>
    <col min="16" max="16" width="14.7109375" customWidth="1"/>
    <col min="17" max="17" width="7.7109375" hidden="1" customWidth="1"/>
    <col min="18" max="18" width="14.7109375" customWidth="1"/>
    <col min="19" max="19" width="26.42578125" hidden="1" customWidth="1"/>
    <col min="20" max="20" width="7.7109375" hidden="1" customWidth="1"/>
    <col min="21" max="21" width="14.7109375" customWidth="1"/>
    <col min="22" max="22" width="7.7109375" hidden="1" customWidth="1"/>
    <col min="23" max="23" width="14.7109375" customWidth="1"/>
  </cols>
  <sheetData>
    <row r="1" spans="1:23" x14ac:dyDescent="0.25">
      <c r="A1" t="s">
        <v>58</v>
      </c>
      <c r="B1" s="26"/>
      <c r="D1" s="26">
        <f>'Resultados CC'!A3</f>
        <v>0</v>
      </c>
      <c r="I1" s="26">
        <f>'Resultados CC'!B3</f>
        <v>5</v>
      </c>
      <c r="N1" s="26">
        <f>'Resultados CC'!C3</f>
        <v>10</v>
      </c>
      <c r="S1" s="26">
        <f>'Resultados CC'!D3</f>
        <v>30</v>
      </c>
    </row>
    <row r="2" spans="1:23" x14ac:dyDescent="0.25">
      <c r="A2" t="s">
        <v>74</v>
      </c>
      <c r="B2" s="26"/>
    </row>
    <row r="3" spans="1:23" x14ac:dyDescent="0.25">
      <c r="A3" t="s">
        <v>59</v>
      </c>
      <c r="B3" s="26" t="s">
        <v>60</v>
      </c>
    </row>
    <row r="5" spans="1:23" ht="11.25" customHeight="1" thickBot="1" x14ac:dyDescent="0.3"/>
    <row r="6" spans="1:23" ht="19.5" thickBot="1" x14ac:dyDescent="0.35">
      <c r="D6" s="94" t="str">
        <f>"FALLA TRIFÁSICA EN LA LÍNEA "&amp;B1</f>
        <v xml:space="preserve">FALLA TRIFÁSICA EN LA LÍNEA </v>
      </c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6"/>
    </row>
    <row r="7" spans="1:23" ht="15.75" thickBot="1" x14ac:dyDescent="0.3">
      <c r="D7" s="117" t="str">
        <f>"impedancia de falla = "&amp;D1&amp;" Ohm"</f>
        <v>impedancia de falla = 0 Ohm</v>
      </c>
      <c r="E7" s="118"/>
      <c r="F7" s="118"/>
      <c r="G7" s="118"/>
      <c r="H7" s="110"/>
      <c r="I7" s="101" t="str">
        <f>"impedancia de falla = "&amp;I1&amp;" Ohm"</f>
        <v>impedancia de falla = 5 Ohm</v>
      </c>
      <c r="J7" s="102"/>
      <c r="K7" s="102"/>
      <c r="L7" s="102"/>
      <c r="M7" s="103"/>
      <c r="N7" s="104" t="str">
        <f>"impedancia de falla = "&amp;N1&amp;" Ohm"</f>
        <v>impedancia de falla = 10 Ohm</v>
      </c>
      <c r="O7" s="105"/>
      <c r="P7" s="105"/>
      <c r="Q7" s="105"/>
      <c r="R7" s="106"/>
      <c r="S7" s="107" t="str">
        <f>"impedancia de falla = "&amp;S1&amp;" Ohm"</f>
        <v>impedancia de falla = 30 Ohm</v>
      </c>
      <c r="T7" s="108"/>
      <c r="U7" s="108"/>
      <c r="V7" s="108"/>
      <c r="W7" s="109"/>
    </row>
    <row r="8" spans="1:23" x14ac:dyDescent="0.25">
      <c r="B8" s="97" t="s">
        <v>75</v>
      </c>
      <c r="C8" s="110" t="s">
        <v>3</v>
      </c>
      <c r="D8" s="112" t="s">
        <v>76</v>
      </c>
      <c r="E8" s="27" t="s">
        <v>40</v>
      </c>
      <c r="F8" s="27" t="s">
        <v>83</v>
      </c>
      <c r="G8" s="27" t="s">
        <v>41</v>
      </c>
      <c r="H8" s="32" t="s">
        <v>42</v>
      </c>
      <c r="I8" s="113" t="s">
        <v>76</v>
      </c>
      <c r="J8" s="29" t="s">
        <v>40</v>
      </c>
      <c r="K8" s="29" t="s">
        <v>83</v>
      </c>
      <c r="L8" s="29" t="s">
        <v>41</v>
      </c>
      <c r="M8" s="35" t="s">
        <v>42</v>
      </c>
      <c r="N8" s="115" t="s">
        <v>76</v>
      </c>
      <c r="O8" s="30" t="s">
        <v>40</v>
      </c>
      <c r="P8" s="30" t="s">
        <v>83</v>
      </c>
      <c r="Q8" s="30" t="s">
        <v>41</v>
      </c>
      <c r="R8" s="38" t="s">
        <v>42</v>
      </c>
      <c r="S8" s="99" t="s">
        <v>76</v>
      </c>
      <c r="T8" s="28" t="s">
        <v>40</v>
      </c>
      <c r="U8" s="28" t="s">
        <v>83</v>
      </c>
      <c r="V8" s="28" t="s">
        <v>41</v>
      </c>
      <c r="W8" s="41" t="s">
        <v>42</v>
      </c>
    </row>
    <row r="9" spans="1:23" ht="15.75" thickBot="1" x14ac:dyDescent="0.3">
      <c r="B9" s="98"/>
      <c r="C9" s="111"/>
      <c r="D9" s="98"/>
      <c r="E9" s="33" t="s">
        <v>43</v>
      </c>
      <c r="F9" s="33" t="s">
        <v>43</v>
      </c>
      <c r="G9" s="33" t="s">
        <v>44</v>
      </c>
      <c r="H9" s="34" t="s">
        <v>45</v>
      </c>
      <c r="I9" s="114"/>
      <c r="J9" s="36" t="s">
        <v>43</v>
      </c>
      <c r="K9" s="36" t="s">
        <v>43</v>
      </c>
      <c r="L9" s="36" t="s">
        <v>44</v>
      </c>
      <c r="M9" s="37" t="s">
        <v>45</v>
      </c>
      <c r="N9" s="116"/>
      <c r="O9" s="39" t="s">
        <v>43</v>
      </c>
      <c r="P9" s="39" t="s">
        <v>43</v>
      </c>
      <c r="Q9" s="39" t="s">
        <v>44</v>
      </c>
      <c r="R9" s="40" t="s">
        <v>45</v>
      </c>
      <c r="S9" s="100"/>
      <c r="T9" s="42" t="s">
        <v>43</v>
      </c>
      <c r="U9" s="42" t="s">
        <v>43</v>
      </c>
      <c r="V9" s="42" t="s">
        <v>44</v>
      </c>
      <c r="W9" s="43" t="s">
        <v>45</v>
      </c>
    </row>
    <row r="10" spans="1:23" x14ac:dyDescent="0.25">
      <c r="A10" s="44" t="s">
        <v>82</v>
      </c>
      <c r="B10" s="45">
        <v>2</v>
      </c>
      <c r="C10" s="45" t="str">
        <f>VLOOKUP(A10,TABLA1!$A$14:$B$99,2,FALSE)</f>
        <v>R_K3-2-K2</v>
      </c>
      <c r="D10" s="45" t="str">
        <f>$B$1&amp;$B$2&amp;$B$3&amp;D$1&amp;$B10&amp;VLOOKUP($A10,TABLA1!$A$14:$AY$3400,5,FALSE)&amp;IF(VLOOKUP($A10,TABLA1!$A$14:$AY$3400,3,FALSE)=VLOOKUP($A10,TABLA1!$A$14:$AY$3400,6,FALSE),0,1)</f>
        <v>TRIFASICO02L2-21</v>
      </c>
      <c r="E10" s="48" t="e">
        <f>MIN(TCurva(G10,VLOOKUP($A10,TABLA1!$A$14:$BF$100,29,FALSE),VLOOKUP($A10,TABLA1!$A$14:$BF$100,31,FALSE),VLOOKUP($A10,TABLA1!$A$14:$BF$100,30,FALSE),VLOOKUP($A10,TABLA1!$A$14:$BF$100,58,FALSE),VLOOKUP($A10,TABLA1!$A$14:$BF$100,11,FALSE)),TCurva(G10,VLOOKUP($A10,TABLA1!$A$14:$BF$100,29+4,FALSE),VLOOKUP($A10,TABLA1!$A$14:$BF$100,31+4,FALSE),VLOOKUP($A10,TABLA1!$A$14:$BF$100,30+4,FALSE),VLOOKUP($A10,TABLA1!$A$14:$BF$100,58,FALSE),VLOOKUP($A10,TABLA1!$A$14:$BF$100,11+3,FALSE)),TCurva(G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F10" s="47" t="e">
        <f>IF(E10=999,"-",E10)</f>
        <v>#VALUE!</v>
      </c>
      <c r="G10" s="46" t="e">
        <f>IF(INDEX('Resultados CC'!$A$1:Q99997,MATCH(D10,'Resultados CC'!$Q$1:$Q$99999,0),8)=-1,-1*INDEX('Resultados CC'!$A$1:$Q$99999,MATCH(D10,'Resultados CC'!$Q$1:$Q$99999,0),9),INDEX('Resultados CC'!$A$1:$Q$99999,MATCH(D10,'Resultados CC'!$Q$1:$Q$99999,0),9))</f>
        <v>#N/A</v>
      </c>
      <c r="H10" s="45"/>
      <c r="I10" s="45" t="str">
        <f>$B$1&amp;$B$2&amp;$B$3&amp;I$1&amp;$B10&amp;VLOOKUP($A10,TABLA1!$A$14:$AY$3400,5,FALSE)&amp;IF(VLOOKUP($A10,TABLA1!$A$14:$AY$3400,3,FALSE)=VLOOKUP($A10,TABLA1!$A$14:$AY$3400,6,FALSE),0,1)</f>
        <v>TRIFASICO52L2-21</v>
      </c>
      <c r="J10" s="48" t="e">
        <f>MIN(TCurva(L10,VLOOKUP($A10,TABLA1!$A$14:$BF$100,29,FALSE),VLOOKUP($A10,TABLA1!$A$14:$BF$100,31,FALSE),VLOOKUP($A10,TABLA1!$A$14:$BF$100,30,FALSE),VLOOKUP($A10,TABLA1!$A$14:$BF$100,58,FALSE),VLOOKUP($A10,TABLA1!$A$14:$BF$100,11,FALSE)),TCurva(L10,VLOOKUP($A10,TABLA1!$A$14:$BF$100,29+4,FALSE),VLOOKUP($A10,TABLA1!$A$14:$BF$100,31+4,FALSE),VLOOKUP($A10,TABLA1!$A$14:$BF$100,30+4,FALSE),VLOOKUP($A10,TABLA1!$A$14:$BF$100,58,FALSE),VLOOKUP($A10,TABLA1!$A$14:$BF$100,11+3,FALSE)),TCurva(L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K10" s="47" t="e">
        <f>IF(J10=999,"-",J10)</f>
        <v>#VALUE!</v>
      </c>
      <c r="L10" s="46" t="e">
        <f>IF(INDEX('Resultados CC'!$A$1:V99997,MATCH(I10,'Resultados CC'!$Q$1:$Q$99999,0),8)=-1,-1*INDEX('Resultados CC'!$A$1:$Q$99999,MATCH(I10,'Resultados CC'!$Q$1:$Q$99999,0),9),INDEX('Resultados CC'!$A$1:$Q$99999,MATCH(I10,'Resultados CC'!$Q$1:$Q$99999,0),9))</f>
        <v>#N/A</v>
      </c>
      <c r="M10" s="45"/>
      <c r="N10" s="45" t="str">
        <f>$B$1&amp;$B$2&amp;$B$3&amp;N$1&amp;$B10&amp;VLOOKUP($A10,TABLA1!$A$14:$AY$3400,5,FALSE)&amp;IF(VLOOKUP($A10,TABLA1!$A$14:$AY$3400,3,FALSE)=VLOOKUP($A10,TABLA1!$A$14:$AY$3400,6,FALSE),0,1)</f>
        <v>TRIFASICO102L2-21</v>
      </c>
      <c r="O10" s="48" t="e">
        <f>MIN(TCurva(Q10,VLOOKUP($A10,TABLA1!$A$14:$BF$100,29,FALSE),VLOOKUP($A10,TABLA1!$A$14:$BF$100,31,FALSE),VLOOKUP($A10,TABLA1!$A$14:$BF$100,30,FALSE),VLOOKUP($A10,TABLA1!$A$14:$BF$100,58,FALSE),VLOOKUP($A10,TABLA1!$A$14:$BF$100,11,FALSE)),TCurva(Q10,VLOOKUP($A10,TABLA1!$A$14:$BF$100,29+4,FALSE),VLOOKUP($A10,TABLA1!$A$14:$BF$100,31+4,FALSE),VLOOKUP($A10,TABLA1!$A$14:$BF$100,30+4,FALSE),VLOOKUP($A10,TABLA1!$A$14:$BF$100,58,FALSE),VLOOKUP($A10,TABLA1!$A$14:$BF$100,11+3,FALSE)),TCurva(Q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P10" s="47" t="e">
        <f>IF(O10=999,"-",O10)</f>
        <v>#VALUE!</v>
      </c>
      <c r="Q10" s="46" t="e">
        <f>IF(INDEX('Resultados CC'!$A$1:AA99997,MATCH(N10,'Resultados CC'!$Q$1:$Q$99999,0),8)=-1,-1*INDEX('Resultados CC'!$A$1:$Q$99999,MATCH(N10,'Resultados CC'!$Q$1:$Q$99999,0),9),INDEX('Resultados CC'!$A$1:$Q$99999,MATCH(N10,'Resultados CC'!$Q$1:$Q$99999,0),9))</f>
        <v>#N/A</v>
      </c>
      <c r="R10" s="45"/>
      <c r="S10" s="45" t="str">
        <f>$B$1&amp;$B$2&amp;$B$3&amp;S$1&amp;$B10&amp;VLOOKUP($A10,TABLA1!$A$14:$AY$3400,5,FALSE)&amp;IF(VLOOKUP($A10,TABLA1!$A$14:$AY$3400,3,FALSE)=VLOOKUP($A10,TABLA1!$A$14:$AY$3400,6,FALSE),0,1)</f>
        <v>TRIFASICO302L2-21</v>
      </c>
      <c r="T10" s="48" t="e">
        <f>MIN(TCurva(V10,VLOOKUP($A10,TABLA1!$A$14:$BF$100,29,FALSE),VLOOKUP($A10,TABLA1!$A$14:$BF$100,31,FALSE),VLOOKUP($A10,TABLA1!$A$14:$BF$100,30,FALSE),VLOOKUP($A10,TABLA1!$A$14:$BF$100,58,FALSE),VLOOKUP($A10,TABLA1!$A$14:$BF$100,11,FALSE)),TCurva(V10,VLOOKUP($A10,TABLA1!$A$14:$BF$100,29+4,FALSE),VLOOKUP($A10,TABLA1!$A$14:$BF$100,31+4,FALSE),VLOOKUP($A10,TABLA1!$A$14:$BF$100,30+4,FALSE),VLOOKUP($A10,TABLA1!$A$14:$BF$100,58,FALSE),VLOOKUP($A10,TABLA1!$A$14:$BF$100,11+3,FALSE)),TCurva(V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U10" s="47" t="e">
        <f>IF(T10=999,"-",T10)</f>
        <v>#VALUE!</v>
      </c>
      <c r="V10" s="46" t="e">
        <f>IF(INDEX('Resultados CC'!$A$1:AF99997,MATCH(S10,'Resultados CC'!$Q$1:$Q$99999,0),8)=-1,-1*INDEX('Resultados CC'!$A$1:$Q$99999,MATCH(S10,'Resultados CC'!$Q$1:$Q$99999,0),9),INDEX('Resultados CC'!$A$1:$Q$99999,MATCH(S10,'Resultados CC'!$Q$1:$Q$99999,0),9))</f>
        <v>#N/A</v>
      </c>
      <c r="W10" s="45"/>
    </row>
    <row r="12" spans="1:23" x14ac:dyDescent="0.25">
      <c r="F12" s="25"/>
    </row>
  </sheetData>
  <mergeCells count="11">
    <mergeCell ref="D6:W6"/>
    <mergeCell ref="B8:B9"/>
    <mergeCell ref="S8:S9"/>
    <mergeCell ref="I7:M7"/>
    <mergeCell ref="N7:R7"/>
    <mergeCell ref="S7:W7"/>
    <mergeCell ref="C8:C9"/>
    <mergeCell ref="D8:D9"/>
    <mergeCell ref="I8:I9"/>
    <mergeCell ref="N8:N9"/>
    <mergeCell ref="D7:H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AK10"/>
  <sheetViews>
    <sheetView topLeftCell="B5" workbookViewId="0">
      <selection sqref="A1:XFD1048576"/>
    </sheetView>
  </sheetViews>
  <sheetFormatPr baseColWidth="10" defaultRowHeight="15" x14ac:dyDescent="0.25"/>
  <cols>
    <col min="1" max="1" width="11.5703125" hidden="1" customWidth="1"/>
    <col min="2" max="2" width="13.42578125" bestFit="1" customWidth="1"/>
    <col min="4" max="4" width="24.5703125" hidden="1" customWidth="1"/>
    <col min="5" max="5" width="11.42578125" hidden="1" customWidth="1"/>
    <col min="6" max="6" width="14.7109375" customWidth="1"/>
    <col min="7" max="7" width="8.28515625" hidden="1" customWidth="1"/>
    <col min="8" max="8" width="9.42578125" hidden="1" customWidth="1"/>
    <col min="9" max="9" width="14.28515625" customWidth="1"/>
    <col min="10" max="10" width="8.28515625" hidden="1" customWidth="1"/>
    <col min="11" max="11" width="14.7109375" customWidth="1"/>
    <col min="12" max="12" width="28.7109375" hidden="1" customWidth="1"/>
    <col min="13" max="13" width="7.7109375" hidden="1" customWidth="1"/>
    <col min="14" max="14" width="14.7109375" customWidth="1"/>
    <col min="15" max="16" width="8.28515625" hidden="1" customWidth="1"/>
    <col min="17" max="17" width="14.28515625" customWidth="1"/>
    <col min="18" max="18" width="8.28515625" hidden="1" customWidth="1"/>
    <col min="19" max="19" width="14.28515625" hidden="1" customWidth="1"/>
    <col min="20" max="20" width="14.7109375" customWidth="1"/>
    <col min="21" max="21" width="29.7109375" hidden="1" customWidth="1"/>
    <col min="22" max="22" width="7.7109375" hidden="1" customWidth="1"/>
    <col min="23" max="23" width="14.7109375" customWidth="1"/>
    <col min="24" max="25" width="7.28515625" hidden="1" customWidth="1"/>
    <col min="26" max="26" width="14.28515625" customWidth="1"/>
    <col min="27" max="27" width="7.28515625" hidden="1" customWidth="1"/>
    <col min="28" max="28" width="14.7109375" customWidth="1"/>
    <col min="29" max="29" width="29.7109375" hidden="1" customWidth="1"/>
    <col min="30" max="30" width="7.7109375" hidden="1" customWidth="1"/>
    <col min="31" max="31" width="14.7109375" customWidth="1"/>
    <col min="32" max="33" width="9" hidden="1" customWidth="1"/>
    <col min="34" max="34" width="14.28515625" customWidth="1"/>
    <col min="35" max="35" width="9" hidden="1" customWidth="1"/>
    <col min="36" max="36" width="14.28515625" hidden="1" customWidth="1"/>
    <col min="37" max="37" width="14.7109375" customWidth="1"/>
  </cols>
  <sheetData>
    <row r="1" spans="1:37" hidden="1" x14ac:dyDescent="0.25">
      <c r="A1" t="s">
        <v>58</v>
      </c>
      <c r="B1" s="26" t="s">
        <v>65</v>
      </c>
      <c r="D1" s="26">
        <f>'Resultados CC'!A3</f>
        <v>0</v>
      </c>
      <c r="L1" s="26">
        <f>'Resultados CC'!B3</f>
        <v>5</v>
      </c>
      <c r="U1" s="26">
        <f>'Resultados CC'!C3</f>
        <v>10</v>
      </c>
      <c r="AC1" s="26">
        <f>'Resultados CC'!D3</f>
        <v>30</v>
      </c>
    </row>
    <row r="2" spans="1:37" hidden="1" x14ac:dyDescent="0.25">
      <c r="A2" t="s">
        <v>74</v>
      </c>
      <c r="B2" s="26" t="s">
        <v>66</v>
      </c>
    </row>
    <row r="3" spans="1:37" hidden="1" x14ac:dyDescent="0.25">
      <c r="A3" t="s">
        <v>59</v>
      </c>
      <c r="B3" s="26" t="s">
        <v>67</v>
      </c>
    </row>
    <row r="4" spans="1:37" hidden="1" x14ac:dyDescent="0.25"/>
    <row r="5" spans="1:37" ht="11.25" customHeight="1" thickBot="1" x14ac:dyDescent="0.3"/>
    <row r="6" spans="1:37" ht="19.5" thickBot="1" x14ac:dyDescent="0.35">
      <c r="D6" s="119" t="str">
        <f>"FALLA MONOFÁSICA EN LA LÍNEA "&amp;B1</f>
        <v>FALLA MONOFÁSICA EN LA LÍNEA L3-2</v>
      </c>
      <c r="E6" s="120"/>
      <c r="F6" s="120"/>
      <c r="G6" s="120"/>
      <c r="H6" s="120"/>
      <c r="I6" s="120"/>
      <c r="J6" s="120"/>
      <c r="K6" s="120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6"/>
    </row>
    <row r="7" spans="1:37" x14ac:dyDescent="0.25">
      <c r="D7" s="117" t="str">
        <f>"impedancia de falla = "&amp;D1&amp;" Ohm"</f>
        <v>impedancia de falla = 0 Ohm</v>
      </c>
      <c r="E7" s="118"/>
      <c r="F7" s="118"/>
      <c r="G7" s="118"/>
      <c r="H7" s="121"/>
      <c r="I7" s="121"/>
      <c r="J7" s="121"/>
      <c r="K7" s="110"/>
      <c r="L7" s="101" t="str">
        <f>"impedancia de falla = "&amp;L1&amp;" Ohm"</f>
        <v>impedancia de falla = 5 Ohm</v>
      </c>
      <c r="M7" s="102"/>
      <c r="N7" s="102"/>
      <c r="O7" s="102"/>
      <c r="P7" s="122"/>
      <c r="Q7" s="122"/>
      <c r="R7" s="122"/>
      <c r="S7" s="122"/>
      <c r="T7" s="103"/>
      <c r="U7" s="104" t="str">
        <f>"impedancia de falla = "&amp;U1&amp;" Ohm"</f>
        <v>impedancia de falla = 10 Ohm</v>
      </c>
      <c r="V7" s="105"/>
      <c r="W7" s="105"/>
      <c r="X7" s="105"/>
      <c r="Y7" s="123"/>
      <c r="Z7" s="123"/>
      <c r="AA7" s="123"/>
      <c r="AB7" s="106"/>
      <c r="AC7" s="107" t="str">
        <f>"impedancia de falla = "&amp;AC1&amp;" Ohm"</f>
        <v>impedancia de falla = 30 Ohm</v>
      </c>
      <c r="AD7" s="108"/>
      <c r="AE7" s="108"/>
      <c r="AF7" s="108"/>
      <c r="AG7" s="124"/>
      <c r="AH7" s="124"/>
      <c r="AI7" s="124"/>
      <c r="AJ7" s="124"/>
      <c r="AK7" s="109"/>
    </row>
    <row r="8" spans="1:37" x14ac:dyDescent="0.25">
      <c r="B8" s="127" t="s">
        <v>75</v>
      </c>
      <c r="C8" s="129" t="s">
        <v>3</v>
      </c>
      <c r="D8" s="112" t="s">
        <v>76</v>
      </c>
      <c r="E8" s="27" t="s">
        <v>40</v>
      </c>
      <c r="F8" s="27" t="s">
        <v>83</v>
      </c>
      <c r="G8" s="27" t="s">
        <v>41</v>
      </c>
      <c r="H8" s="52" t="s">
        <v>40</v>
      </c>
      <c r="I8" s="52" t="s">
        <v>83</v>
      </c>
      <c r="J8" s="52" t="s">
        <v>41</v>
      </c>
      <c r="K8" s="32" t="s">
        <v>42</v>
      </c>
      <c r="L8" s="113" t="s">
        <v>76</v>
      </c>
      <c r="M8" s="29" t="s">
        <v>40</v>
      </c>
      <c r="N8" s="29" t="s">
        <v>83</v>
      </c>
      <c r="O8" s="29" t="s">
        <v>41</v>
      </c>
      <c r="P8" s="29" t="s">
        <v>40</v>
      </c>
      <c r="Q8" s="29" t="s">
        <v>83</v>
      </c>
      <c r="R8" s="29" t="s">
        <v>41</v>
      </c>
      <c r="S8" s="35" t="s">
        <v>83</v>
      </c>
      <c r="T8" s="35" t="s">
        <v>42</v>
      </c>
      <c r="U8" s="115" t="s">
        <v>76</v>
      </c>
      <c r="V8" s="30" t="s">
        <v>40</v>
      </c>
      <c r="W8" s="30" t="s">
        <v>83</v>
      </c>
      <c r="X8" s="30" t="s">
        <v>41</v>
      </c>
      <c r="Y8" s="30" t="s">
        <v>40</v>
      </c>
      <c r="Z8" s="30" t="s">
        <v>83</v>
      </c>
      <c r="AA8" s="30" t="s">
        <v>41</v>
      </c>
      <c r="AB8" s="38" t="s">
        <v>42</v>
      </c>
      <c r="AC8" s="125" t="s">
        <v>76</v>
      </c>
      <c r="AD8" s="28" t="s">
        <v>40</v>
      </c>
      <c r="AE8" s="28" t="s">
        <v>83</v>
      </c>
      <c r="AF8" s="28" t="s">
        <v>41</v>
      </c>
      <c r="AG8" s="28" t="s">
        <v>40</v>
      </c>
      <c r="AH8" s="28" t="s">
        <v>83</v>
      </c>
      <c r="AI8" s="28" t="s">
        <v>41</v>
      </c>
      <c r="AJ8" s="41" t="s">
        <v>83</v>
      </c>
      <c r="AK8" s="41" t="s">
        <v>42</v>
      </c>
    </row>
    <row r="9" spans="1:37" ht="15.75" thickBot="1" x14ac:dyDescent="0.3">
      <c r="B9" s="128"/>
      <c r="C9" s="129"/>
      <c r="D9" s="98"/>
      <c r="E9" s="33" t="s">
        <v>43</v>
      </c>
      <c r="F9" s="33" t="s">
        <v>85</v>
      </c>
      <c r="G9" s="33" t="s">
        <v>44</v>
      </c>
      <c r="H9" s="33" t="s">
        <v>43</v>
      </c>
      <c r="I9" s="33" t="s">
        <v>86</v>
      </c>
      <c r="J9" s="33" t="s">
        <v>44</v>
      </c>
      <c r="K9" s="34" t="s">
        <v>45</v>
      </c>
      <c r="L9" s="114"/>
      <c r="M9" s="36" t="s">
        <v>43</v>
      </c>
      <c r="N9" s="36" t="s">
        <v>85</v>
      </c>
      <c r="O9" s="36" t="s">
        <v>44</v>
      </c>
      <c r="P9" s="36" t="s">
        <v>43</v>
      </c>
      <c r="Q9" s="36" t="s">
        <v>86</v>
      </c>
      <c r="R9" s="36" t="s">
        <v>44</v>
      </c>
      <c r="S9" s="37" t="s">
        <v>43</v>
      </c>
      <c r="T9" s="37" t="s">
        <v>45</v>
      </c>
      <c r="U9" s="116"/>
      <c r="V9" s="39" t="s">
        <v>43</v>
      </c>
      <c r="W9" s="39" t="s">
        <v>85</v>
      </c>
      <c r="X9" s="39" t="s">
        <v>44</v>
      </c>
      <c r="Y9" s="39" t="s">
        <v>43</v>
      </c>
      <c r="Z9" s="39" t="s">
        <v>86</v>
      </c>
      <c r="AA9" s="39" t="s">
        <v>44</v>
      </c>
      <c r="AB9" s="40" t="s">
        <v>45</v>
      </c>
      <c r="AC9" s="126"/>
      <c r="AD9" s="42" t="s">
        <v>43</v>
      </c>
      <c r="AE9" s="42" t="s">
        <v>85</v>
      </c>
      <c r="AF9" s="42" t="s">
        <v>44</v>
      </c>
      <c r="AG9" s="42" t="s">
        <v>43</v>
      </c>
      <c r="AH9" s="42" t="s">
        <v>86</v>
      </c>
      <c r="AI9" s="42" t="s">
        <v>44</v>
      </c>
      <c r="AJ9" s="43" t="s">
        <v>43</v>
      </c>
      <c r="AK9" s="43" t="s">
        <v>45</v>
      </c>
    </row>
    <row r="10" spans="1:37" x14ac:dyDescent="0.25">
      <c r="A10" s="44" t="s">
        <v>82</v>
      </c>
      <c r="B10" s="45">
        <v>2</v>
      </c>
      <c r="C10" s="24" t="str">
        <f>VLOOKUP(A10,TABLA1!$A$14:$B$99,2,FALSE)</f>
        <v>R_K3-2-K2</v>
      </c>
      <c r="D10" s="31" t="str">
        <f>$B$1&amp;$B$2&amp;$B$3&amp;D$1&amp;$B10&amp;VLOOKUP($A10,TABLA1!$A$14:$AY$3400,5,FALSE)&amp;IF(VLOOKUP($A10,TABLA1!$A$14:$AY$3400,3,FALSE)=VLOOKUP($A10,TABLA1!$A$14:$AY$3400,6,FALSE),0,1)</f>
        <v>L3-2LineMONOFASICO02L2-21</v>
      </c>
      <c r="E10" s="48" t="e">
        <f>MIN(TCurva(G10,VLOOKUP($A10,TABLA1!$A$14:$BF$100,41,FALSE),VLOOKUP($A10,TABLA1!$A$14:$BF$100,43,FALSE),VLOOKUP($A10,TABLA1!$A$14:$BF$100,42,FALSE),VLOOKUP($A10,TABLA1!$A$14:$BF$100,58,FALSE),VLOOKUP($A10,TABLA1!$A$14:$BF$100,20,FALSE)),TCurva(G10,VLOOKUP($A10,TABLA1!$A$14:$BF$100,41+4,FALSE),VLOOKUP($A10,TABLA1!$A$14:$BF$100,43+4,FALSE),VLOOKUP($A10,TABLA1!$A$14:$BF$100,42+4,FALSE),VLOOKUP($A10,TABLA1!$A$14:$BF$100,58,FALSE),VLOOKUP($A10,TABLA1!$A$14:$BF$100,20,FALSE)),TCurva(G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F10" s="47" t="e">
        <f>IF(E10=999,"-",E10)</f>
        <v>#VALUE!</v>
      </c>
      <c r="G10" s="47" t="e">
        <f>IF(INDEX('Resultados CC'!$A$1:Q99997,MATCH(D10,'Resultados CC'!$Q$1:$Q$99999,0),8)=-1,-1*INDEX('Resultados CC'!$A$1:$Q$99999,MATCH(D10,'Resultados CC'!$Q$1:$Q$99999,0),12),INDEX('Resultados CC'!$A$1:$Q$99999,MATCH(D10,'Resultados CC'!$Q$1:$Q$99999,0),12))</f>
        <v>#N/A</v>
      </c>
      <c r="H10" s="48" t="e">
        <f>MIN(TCurva(J10,VLOOKUP($A10,TABLA1!$A$14:$BF$100,29,FALSE),VLOOKUP($A10,TABLA1!$A$14:$BF$100,31,FALSE),VLOOKUP($A10,TABLA1!$A$14:$BF$100,30,FALSE),VLOOKUP($A10,TABLA1!$A$14:$BF$100,58,FALSE),VLOOKUP($A10,TABLA1!$A$14:$BF$100,11,FALSE)),TCurva(J10,VLOOKUP($A10,TABLA1!$A$14:$BF$100,29+4,FALSE),VLOOKUP($A10,TABLA1!$A$14:$BF$100,31+4,FALSE),VLOOKUP($A10,TABLA1!$A$14:$BF$100,30+4,FALSE),VLOOKUP($A10,TABLA1!$A$14:$BF$100,58,FALSE),VLOOKUP($A10,TABLA1!$A$14:$BF$100,11+3,FALSE)),TCurva(J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I10" s="47" t="e">
        <f>IF(H10=999,"-",H10)</f>
        <v>#VALUE!</v>
      </c>
      <c r="J10" s="46" t="e">
        <f>IF(INDEX('Resultados CC'!$A$1:Q99997,MATCH(D10,'Resultados CC'!$Q$1:$Q$99999,0),8)=-1,-1*INDEX('Resultados CC'!$A$1:$Q$99999,MATCH(D10,'Resultados CC'!$Q$1:$Q$99999,0),9),INDEX('Resultados CC'!$A$1:$Q$99999,MATCH(D10,'Resultados CC'!$Q$1:$Q$99999,0),9))</f>
        <v>#N/A</v>
      </c>
      <c r="K10" s="31"/>
      <c r="L10" s="31" t="str">
        <f>$B$1&amp;$B$2&amp;$B$3&amp;L$1&amp;$B10&amp;VLOOKUP($A10,TABLA1!$A$14:$AY$3400,5,FALSE)&amp;IF(VLOOKUP($A10,TABLA1!$A$14:$AY$3400,3,FALSE)=VLOOKUP($A10,TABLA1!$A$14:$AY$3400,6,FALSE),0,1)</f>
        <v>L3-2LineMONOFASICO52L2-21</v>
      </c>
      <c r="M10" s="48" t="e">
        <f>MIN(TCurva(O10,VLOOKUP($A10,TABLA1!$A$14:$BF$100,41,FALSE),VLOOKUP($A10,TABLA1!$A$14:$BF$100,43,FALSE),VLOOKUP($A10,TABLA1!$A$14:$BF$100,42,FALSE),VLOOKUP($A10,TABLA1!$A$14:$BF$100,58,FALSE),VLOOKUP($A10,TABLA1!$A$14:$BF$100,20,FALSE)),TCurva(O10,VLOOKUP($A10,TABLA1!$A$14:$BF$100,41+4,FALSE),VLOOKUP($A10,TABLA1!$A$14:$BF$100,43+4,FALSE),VLOOKUP($A10,TABLA1!$A$14:$BF$100,42+4,FALSE),VLOOKUP($A10,TABLA1!$A$14:$BF$100,58,FALSE),VLOOKUP($A10,TABLA1!$A$14:$BF$100,20,FALSE)),TCurva(O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N10" s="47" t="e">
        <f>IF(M10=999,"-",M10)</f>
        <v>#VALUE!</v>
      </c>
      <c r="O10" s="47" t="e">
        <f>IF(INDEX('Resultados CC'!$A$1:V99997,MATCH(L10,'Resultados CC'!$Q$1:$Q$99999,0),8)=-1,-1*INDEX('Resultados CC'!$A$1:$Q$99999,MATCH(L10,'Resultados CC'!$Q$1:$Q$99999,0),12),INDEX('Resultados CC'!$A$1:$Q$99999,MATCH(L10,'Resultados CC'!$Q$1:$Q$99999,0),12))</f>
        <v>#N/A</v>
      </c>
      <c r="P10" s="48" t="e">
        <f>MIN(TCurva(R10,VLOOKUP($A10,TABLA1!$A$14:$BF$100,29,FALSE),VLOOKUP($A10,TABLA1!$A$14:$BF$100,31,FALSE),VLOOKUP($A10,TABLA1!$A$14:$BF$100,30,FALSE),VLOOKUP($A10,TABLA1!$A$14:$BF$100,58,FALSE),VLOOKUP($A10,TABLA1!$A$14:$BF$100,11,FALSE)),TCurva(R10,VLOOKUP($A10,TABLA1!$A$14:$BF$100,29+4,FALSE),VLOOKUP($A10,TABLA1!$A$14:$BF$100,31+4,FALSE),VLOOKUP($A10,TABLA1!$A$14:$BF$100,30+4,FALSE),VLOOKUP($A10,TABLA1!$A$14:$BF$100,58,FALSE),VLOOKUP($A10,TABLA1!$A$14:$BF$100,11+3,FALSE)),TCurva(R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Q10" s="47" t="e">
        <f>IF(P10=999,"-",P10)</f>
        <v>#VALUE!</v>
      </c>
      <c r="R10" s="46" t="e">
        <f>IF(INDEX('Resultados CC'!$A$1:Y99997,MATCH(L10,'Resultados CC'!$Q$1:$Q$99999,0),8)=-1,-1*INDEX('Resultados CC'!$A$1:$Q$99999,MATCH(L10,'Resultados CC'!$Q$1:$Q$99999,0),9),INDEX('Resultados CC'!$A$1:$Q$99999,MATCH(L10,'Resultados CC'!$Q$1:$Q$99999,0),9))</f>
        <v>#N/A</v>
      </c>
      <c r="S10" s="46" t="e">
        <f>MIN(Q10,N10)</f>
        <v>#VALUE!</v>
      </c>
      <c r="T10" s="31"/>
      <c r="U10" s="31" t="str">
        <f>$B$1&amp;$B$2&amp;$B$3&amp;U$1&amp;$B10&amp;VLOOKUP($A10,TABLA1!$A$14:$AY$3400,5,FALSE)&amp;IF(VLOOKUP($A10,TABLA1!$A$14:$AY$3400,3,FALSE)=VLOOKUP($A10,TABLA1!$A$14:$AY$3400,6,FALSE),0,1)</f>
        <v>L3-2LineMONOFASICO102L2-21</v>
      </c>
      <c r="V10" s="48" t="e">
        <f>MIN(TCurva(X10,VLOOKUP($A10,TABLA1!$A$14:$BF$100,41,FALSE),VLOOKUP($A10,TABLA1!$A$14:$BF$100,43,FALSE),VLOOKUP($A10,TABLA1!$A$14:$BF$100,42,FALSE),VLOOKUP($A10,TABLA1!$A$14:$BF$100,58,FALSE),VLOOKUP($A10,TABLA1!$A$14:$BF$100,20,FALSE)),TCurva(X10,VLOOKUP($A10,TABLA1!$A$14:$BF$100,41+4,FALSE),VLOOKUP($A10,TABLA1!$A$14:$BF$100,43+4,FALSE),VLOOKUP($A10,TABLA1!$A$14:$BF$100,42+4,FALSE),VLOOKUP($A10,TABLA1!$A$14:$BF$100,58,FALSE),VLOOKUP($A10,TABLA1!$A$14:$BF$100,20,FALSE)),TCurva(X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W10" s="47" t="e">
        <f>IF(V10=999,"-",V10)</f>
        <v>#VALUE!</v>
      </c>
      <c r="X10" s="47" t="e">
        <f>IF(INDEX('Resultados CC'!$A$1:AA99997,MATCH(U10,'Resultados CC'!$Q$1:$Q$99999,0),8)=-1,-1*INDEX('Resultados CC'!$A$1:$Q$99999,MATCH(U10,'Resultados CC'!$Q$1:$Q$99999,0),12),INDEX('Resultados CC'!$A$1:$Q$99999,MATCH(U10,'Resultados CC'!$Q$1:$Q$99999,0),12))</f>
        <v>#N/A</v>
      </c>
      <c r="Y10" s="48" t="e">
        <f>MIN(TCurva(AA10,VLOOKUP($A10,TABLA1!$A$14:$BF$100,29,FALSE),VLOOKUP($A10,TABLA1!$A$14:$BF$100,31,FALSE),VLOOKUP($A10,TABLA1!$A$14:$BF$100,30,FALSE),VLOOKUP($A10,TABLA1!$A$14:$BF$100,58,FALSE),VLOOKUP($A10,TABLA1!$A$14:$BF$100,11,FALSE)),TCurva(AA10,VLOOKUP($A10,TABLA1!$A$14:$BF$100,29+4,FALSE),VLOOKUP($A10,TABLA1!$A$14:$BF$100,31+4,FALSE),VLOOKUP($A10,TABLA1!$A$14:$BF$100,30+4,FALSE),VLOOKUP($A10,TABLA1!$A$14:$BF$100,58,FALSE),VLOOKUP($A10,TABLA1!$A$14:$BF$100,11+3,FALSE)),TCurva(AA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Z10" s="47" t="e">
        <f>IF(Y10=999,"-",Y10)</f>
        <v>#VALUE!</v>
      </c>
      <c r="AA10" s="47" t="e">
        <f>IF(INDEX('Resultados CC'!$A$1:AG99997,MATCH(U10,'Resultados CC'!$Q$1:$Q$99999,0),8)=-1,-1*INDEX('Resultados CC'!$A$1:$Q$99999,MATCH(U10,'Resultados CC'!$Q$1:$Q$99999,0),9),INDEX('Resultados CC'!$A$1:$Q$99999,MATCH(U10,'Resultados CC'!$Q$1:$Q$99999,0),9))</f>
        <v>#N/A</v>
      </c>
      <c r="AB10" s="31"/>
      <c r="AC10" s="31" t="str">
        <f>$B$1&amp;$B$2&amp;$B$3&amp;AC$1&amp;$B10&amp;VLOOKUP($A10,TABLA1!$A$14:$AY$3400,5,FALSE)&amp;IF(VLOOKUP($A10,TABLA1!$A$14:$AY$3400,3,FALSE)=VLOOKUP($A10,TABLA1!$A$14:$AY$3400,6,FALSE),0,1)</f>
        <v>L3-2LineMONOFASICO302L2-21</v>
      </c>
      <c r="AD10" s="48" t="e">
        <f>MIN(TCurva(AF10,VLOOKUP($A10,TABLA1!$A$14:$BF$100,41,FALSE),VLOOKUP($A10,TABLA1!$A$14:$BF$100,43,FALSE),VLOOKUP($A10,TABLA1!$A$14:$BF$100,42,FALSE),VLOOKUP($A10,TABLA1!$A$14:$BF$100,58,FALSE),VLOOKUP($A10,TABLA1!$A$14:$BF$100,20,FALSE)),TCurva(AF10,VLOOKUP($A10,TABLA1!$A$14:$BF$100,41+4,FALSE),VLOOKUP($A10,TABLA1!$A$14:$BF$100,43+4,FALSE),VLOOKUP($A10,TABLA1!$A$14:$BF$100,42+4,FALSE),VLOOKUP($A10,TABLA1!$A$14:$BF$100,58,FALSE),VLOOKUP($A10,TABLA1!$A$14:$BF$100,20,FALSE)),TCurva(AF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AE10" s="47" t="e">
        <f>IF(AD10=999,"-",AD10)</f>
        <v>#VALUE!</v>
      </c>
      <c r="AF10" s="47" t="e">
        <f>IF(INDEX('Resultados CC'!$A$1:AF99997,MATCH(AC10,'Resultados CC'!$Q$1:$Q$99999,0),8)=-1,-1*INDEX('Resultados CC'!$A$1:$Q$99999,MATCH(AC10,'Resultados CC'!$Q$1:$Q$99999,0),12),INDEX('Resultados CC'!$A$1:$Q$99999,MATCH(AC10,'Resultados CC'!$Q$1:$Q$99999,0),12))</f>
        <v>#N/A</v>
      </c>
      <c r="AG10" s="48" t="e">
        <f>MIN(TCurva(AI10,VLOOKUP($A10,TABLA1!$A$14:$BF$100,29,FALSE),VLOOKUP($A10,TABLA1!$A$14:$BF$100,31,FALSE),VLOOKUP($A10,TABLA1!$A$14:$BF$100,30,FALSE),VLOOKUP($A10,TABLA1!$A$14:$BF$100,58,FALSE),VLOOKUP($A10,TABLA1!$A$14:$BF$100,11,FALSE)),TCurva(AI10,VLOOKUP($A10,TABLA1!$A$14:$BF$100,29+4,FALSE),VLOOKUP($A10,TABLA1!$A$14:$BF$100,31+4,FALSE),VLOOKUP($A10,TABLA1!$A$14:$BF$100,30+4,FALSE),VLOOKUP($A10,TABLA1!$A$14:$BF$100,58,FALSE),VLOOKUP($A10,TABLA1!$A$14:$BF$100,11+3,FALSE)),TCurva(AI10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AH10" s="47" t="e">
        <f>IF(AG10=999,"-",AG10)</f>
        <v>#VALUE!</v>
      </c>
      <c r="AI10" s="46" t="e">
        <f>IF(INDEX('Resultados CC'!$A$1:AO99997,MATCH(AC10,'Resultados CC'!$Q$1:$Q$99999,0),8)=-1,-1*INDEX('Resultados CC'!$A$1:$Q$99999,MATCH(AC10,'Resultados CC'!$Q$1:$Q$99999,0),9),INDEX('Resultados CC'!$A$1:$Q$99999,MATCH(AC10,'Resultados CC'!$Q$1:$Q$99999,0),9))</f>
        <v>#N/A</v>
      </c>
      <c r="AJ10" s="46" t="e">
        <f>MIN(AH10,AE10)</f>
        <v>#VALUE!</v>
      </c>
      <c r="AK10" s="31"/>
    </row>
  </sheetData>
  <mergeCells count="11">
    <mergeCell ref="AC8:AC9"/>
    <mergeCell ref="B8:B9"/>
    <mergeCell ref="C8:C9"/>
    <mergeCell ref="D8:D9"/>
    <mergeCell ref="L8:L9"/>
    <mergeCell ref="U8:U9"/>
    <mergeCell ref="D6:AK6"/>
    <mergeCell ref="D7:K7"/>
    <mergeCell ref="L7:T7"/>
    <mergeCell ref="U7:AB7"/>
    <mergeCell ref="AC7:AK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AM10"/>
  <sheetViews>
    <sheetView topLeftCell="A5" workbookViewId="0">
      <selection sqref="A1:XFD1048576"/>
    </sheetView>
  </sheetViews>
  <sheetFormatPr baseColWidth="10" defaultRowHeight="15" x14ac:dyDescent="0.25"/>
  <cols>
    <col min="1" max="1" width="16.7109375" bestFit="1" customWidth="1"/>
    <col min="2" max="2" width="16.42578125" bestFit="1" customWidth="1"/>
    <col min="4" max="4" width="31.7109375" hidden="1" customWidth="1"/>
    <col min="5" max="5" width="9.42578125" hidden="1" customWidth="1"/>
    <col min="6" max="6" width="14.28515625" customWidth="1"/>
    <col min="7" max="7" width="9" hidden="1" customWidth="1"/>
    <col min="8" max="8" width="9.42578125" hidden="1" customWidth="1"/>
    <col min="9" max="9" width="14.28515625" customWidth="1"/>
    <col min="10" max="11" width="9" hidden="1" customWidth="1"/>
    <col min="12" max="12" width="14.7109375" customWidth="1"/>
    <col min="13" max="13" width="31.7109375" hidden="1" customWidth="1"/>
    <col min="14" max="14" width="8.140625" hidden="1" customWidth="1"/>
    <col min="15" max="15" width="14.28515625" customWidth="1"/>
    <col min="16" max="16" width="9" hidden="1" customWidth="1"/>
    <col min="17" max="17" width="8.7109375" hidden="1" customWidth="1"/>
    <col min="18" max="18" width="14.28515625" customWidth="1"/>
    <col min="19" max="19" width="8.85546875" hidden="1" customWidth="1"/>
    <col min="20" max="20" width="9" hidden="1" customWidth="1"/>
    <col min="21" max="21" width="14.7109375" customWidth="1"/>
    <col min="22" max="22" width="32.7109375" hidden="1" customWidth="1"/>
    <col min="23" max="23" width="8.28515625" hidden="1" customWidth="1"/>
    <col min="24" max="24" width="14.28515625" customWidth="1"/>
    <col min="25" max="26" width="9" hidden="1" customWidth="1"/>
    <col min="27" max="27" width="14.28515625" customWidth="1"/>
    <col min="28" max="29" width="9" hidden="1" customWidth="1"/>
    <col min="30" max="30" width="14.7109375" customWidth="1"/>
    <col min="31" max="31" width="32.7109375" hidden="1" customWidth="1"/>
    <col min="32" max="32" width="8.28515625" hidden="1" customWidth="1"/>
    <col min="33" max="33" width="14.28515625" customWidth="1"/>
    <col min="34" max="34" width="7.7109375" hidden="1" customWidth="1"/>
    <col min="35" max="35" width="9.42578125" hidden="1" customWidth="1"/>
    <col min="36" max="36" width="14.28515625" customWidth="1"/>
    <col min="37" max="38" width="7.7109375" hidden="1" customWidth="1"/>
    <col min="39" max="39" width="14.7109375" customWidth="1"/>
  </cols>
  <sheetData>
    <row r="1" spans="1:39" hidden="1" x14ac:dyDescent="0.25">
      <c r="A1" t="s">
        <v>58</v>
      </c>
      <c r="B1" s="26" t="s">
        <v>65</v>
      </c>
      <c r="D1" s="26">
        <f>'Resultados CC'!A3</f>
        <v>0</v>
      </c>
      <c r="M1" s="26">
        <f>'Resultados CC'!B3</f>
        <v>5</v>
      </c>
      <c r="V1" s="26">
        <f>'Resultados CC'!C3</f>
        <v>10</v>
      </c>
      <c r="AE1" s="26">
        <f>'Resultados CC'!D3</f>
        <v>30</v>
      </c>
    </row>
    <row r="2" spans="1:39" hidden="1" x14ac:dyDescent="0.25">
      <c r="A2" t="s">
        <v>74</v>
      </c>
      <c r="B2" s="26" t="s">
        <v>66</v>
      </c>
      <c r="I2" s="49"/>
    </row>
    <row r="3" spans="1:39" hidden="1" x14ac:dyDescent="0.25">
      <c r="A3" t="s">
        <v>59</v>
      </c>
      <c r="B3" s="26" t="s">
        <v>69</v>
      </c>
      <c r="I3" s="50"/>
    </row>
    <row r="4" spans="1:39" hidden="1" x14ac:dyDescent="0.25">
      <c r="I4" s="50"/>
    </row>
    <row r="5" spans="1:39" ht="15.75" thickBot="1" x14ac:dyDescent="0.3">
      <c r="I5" s="50"/>
    </row>
    <row r="6" spans="1:39" ht="19.5" thickBot="1" x14ac:dyDescent="0.35">
      <c r="D6" s="94" t="str">
        <f>"FALLA FASE - FASE A TIERRA EN LA LÍNEA "&amp;B1</f>
        <v>FALLA FASE - FASE A TIERRA EN LA LÍNEA L3-2</v>
      </c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6"/>
    </row>
    <row r="7" spans="1:39" x14ac:dyDescent="0.25">
      <c r="D7" s="130" t="str">
        <f>"impedancia de falla = "&amp;D1&amp;" Ohm"</f>
        <v>impedancia de falla = 0 Ohm</v>
      </c>
      <c r="E7" s="131"/>
      <c r="F7" s="131"/>
      <c r="G7" s="131"/>
      <c r="H7" s="131"/>
      <c r="I7" s="131"/>
      <c r="J7" s="131"/>
      <c r="K7" s="131"/>
      <c r="L7" s="132"/>
      <c r="M7" s="101" t="str">
        <f>"impedancia de falla = "&amp;M1&amp;" Ohm"</f>
        <v>impedancia de falla = 5 Ohm</v>
      </c>
      <c r="N7" s="102"/>
      <c r="O7" s="102"/>
      <c r="P7" s="102"/>
      <c r="Q7" s="102"/>
      <c r="R7" s="102"/>
      <c r="S7" s="102"/>
      <c r="T7" s="102"/>
      <c r="U7" s="103"/>
      <c r="V7" s="104" t="str">
        <f>"impedancia de falla = "&amp;V1&amp;" Ohm"</f>
        <v>impedancia de falla = 10 Ohm</v>
      </c>
      <c r="W7" s="105"/>
      <c r="X7" s="105"/>
      <c r="Y7" s="105"/>
      <c r="Z7" s="105"/>
      <c r="AA7" s="105"/>
      <c r="AB7" s="105"/>
      <c r="AC7" s="105"/>
      <c r="AD7" s="106"/>
      <c r="AE7" s="107" t="str">
        <f>"impedancia de falla = "&amp;AE1&amp;" Ohm"</f>
        <v>impedancia de falla = 30 Ohm</v>
      </c>
      <c r="AF7" s="108"/>
      <c r="AG7" s="108"/>
      <c r="AH7" s="108"/>
      <c r="AI7" s="108"/>
      <c r="AJ7" s="108"/>
      <c r="AK7" s="108"/>
      <c r="AL7" s="108"/>
      <c r="AM7" s="109"/>
    </row>
    <row r="8" spans="1:39" x14ac:dyDescent="0.25">
      <c r="B8" s="127" t="s">
        <v>75</v>
      </c>
      <c r="C8" s="129" t="s">
        <v>84</v>
      </c>
      <c r="D8" s="112" t="s">
        <v>76</v>
      </c>
      <c r="E8" s="27" t="s">
        <v>80</v>
      </c>
      <c r="F8" s="52" t="s">
        <v>83</v>
      </c>
      <c r="G8" s="27" t="s">
        <v>77</v>
      </c>
      <c r="H8" s="27" t="s">
        <v>81</v>
      </c>
      <c r="I8" s="52" t="s">
        <v>83</v>
      </c>
      <c r="J8" s="27" t="s">
        <v>78</v>
      </c>
      <c r="K8" s="27" t="s">
        <v>79</v>
      </c>
      <c r="L8" s="32" t="s">
        <v>42</v>
      </c>
      <c r="M8" s="113" t="s">
        <v>76</v>
      </c>
      <c r="N8" s="29" t="s">
        <v>80</v>
      </c>
      <c r="O8" s="29" t="s">
        <v>83</v>
      </c>
      <c r="P8" s="29" t="s">
        <v>77</v>
      </c>
      <c r="Q8" s="29" t="s">
        <v>81</v>
      </c>
      <c r="R8" s="29" t="s">
        <v>83</v>
      </c>
      <c r="S8" s="29" t="s">
        <v>78</v>
      </c>
      <c r="T8" s="29" t="s">
        <v>79</v>
      </c>
      <c r="U8" s="35" t="s">
        <v>42</v>
      </c>
      <c r="V8" s="115" t="s">
        <v>76</v>
      </c>
      <c r="W8" s="30" t="s">
        <v>80</v>
      </c>
      <c r="X8" s="30" t="s">
        <v>83</v>
      </c>
      <c r="Y8" s="30" t="s">
        <v>77</v>
      </c>
      <c r="Z8" s="30" t="s">
        <v>81</v>
      </c>
      <c r="AA8" s="30" t="s">
        <v>83</v>
      </c>
      <c r="AB8" s="30" t="s">
        <v>78</v>
      </c>
      <c r="AC8" s="30" t="s">
        <v>79</v>
      </c>
      <c r="AD8" s="38" t="s">
        <v>42</v>
      </c>
      <c r="AE8" s="99" t="s">
        <v>76</v>
      </c>
      <c r="AF8" s="28" t="s">
        <v>80</v>
      </c>
      <c r="AG8" s="28" t="s">
        <v>83</v>
      </c>
      <c r="AH8" s="28" t="s">
        <v>77</v>
      </c>
      <c r="AI8" s="28" t="s">
        <v>81</v>
      </c>
      <c r="AJ8" s="28" t="s">
        <v>83</v>
      </c>
      <c r="AK8" s="28" t="s">
        <v>78</v>
      </c>
      <c r="AL8" s="28" t="s">
        <v>79</v>
      </c>
      <c r="AM8" s="41" t="s">
        <v>42</v>
      </c>
    </row>
    <row r="9" spans="1:39" ht="15.75" thickBot="1" x14ac:dyDescent="0.3">
      <c r="B9" s="128"/>
      <c r="C9" s="129"/>
      <c r="D9" s="98"/>
      <c r="E9" s="33" t="s">
        <v>43</v>
      </c>
      <c r="F9" s="33" t="s">
        <v>85</v>
      </c>
      <c r="G9" s="33" t="s">
        <v>44</v>
      </c>
      <c r="H9" s="33" t="s">
        <v>43</v>
      </c>
      <c r="I9" s="33" t="s">
        <v>86</v>
      </c>
      <c r="J9" s="33" t="s">
        <v>44</v>
      </c>
      <c r="K9" s="33" t="s">
        <v>44</v>
      </c>
      <c r="L9" s="34" t="s">
        <v>45</v>
      </c>
      <c r="M9" s="114"/>
      <c r="N9" s="36" t="s">
        <v>43</v>
      </c>
      <c r="O9" s="36" t="s">
        <v>85</v>
      </c>
      <c r="P9" s="36" t="s">
        <v>44</v>
      </c>
      <c r="Q9" s="36" t="s">
        <v>43</v>
      </c>
      <c r="R9" s="36" t="s">
        <v>86</v>
      </c>
      <c r="S9" s="36" t="s">
        <v>44</v>
      </c>
      <c r="T9" s="36" t="s">
        <v>44</v>
      </c>
      <c r="U9" s="37" t="s">
        <v>45</v>
      </c>
      <c r="V9" s="116"/>
      <c r="W9" s="39" t="s">
        <v>43</v>
      </c>
      <c r="X9" s="39" t="s">
        <v>85</v>
      </c>
      <c r="Y9" s="39" t="s">
        <v>44</v>
      </c>
      <c r="Z9" s="39" t="s">
        <v>43</v>
      </c>
      <c r="AA9" s="39" t="s">
        <v>86</v>
      </c>
      <c r="AB9" s="39" t="s">
        <v>44</v>
      </c>
      <c r="AC9" s="39" t="s">
        <v>44</v>
      </c>
      <c r="AD9" s="40" t="s">
        <v>45</v>
      </c>
      <c r="AE9" s="100"/>
      <c r="AF9" s="42" t="s">
        <v>43</v>
      </c>
      <c r="AG9" s="42" t="s">
        <v>85</v>
      </c>
      <c r="AH9" s="42" t="s">
        <v>44</v>
      </c>
      <c r="AI9" s="42" t="s">
        <v>43</v>
      </c>
      <c r="AJ9" s="42" t="s">
        <v>86</v>
      </c>
      <c r="AK9" s="42" t="s">
        <v>44</v>
      </c>
      <c r="AL9" s="42" t="s">
        <v>44</v>
      </c>
      <c r="AM9" s="43" t="s">
        <v>45</v>
      </c>
    </row>
    <row r="10" spans="1:39" x14ac:dyDescent="0.25">
      <c r="A10" s="44" t="s">
        <v>70</v>
      </c>
      <c r="B10" s="45">
        <v>98</v>
      </c>
      <c r="C10" s="24" t="str">
        <f>VLOOKUP(A10,TABLA1!$A$14:$B$99,2,FALSE)</f>
        <v>R2-2</v>
      </c>
      <c r="D10" s="31" t="str">
        <f>$B$1&amp;$B$2&amp;$B$3&amp;D$1&amp;$B10&amp;VLOOKUP($A10,TABLA1!$A$14:$AY$3400,5,FALSE)&amp;IF(VLOOKUP($A10,TABLA1!$A$14:$AY$3400,3,FALSE)=VLOOKUP($A10,TABLA1!$A$14:$AY$3400,6,FALSE),0,1)</f>
        <v>L3-2LineBIFASICO_TIERRA098L2-21</v>
      </c>
      <c r="E10" s="48" t="e">
        <f>MIN(TCurva(G10,VLOOKUP($A10,TABLA1!$A$14:$BF$100,41,FALSE),VLOOKUP($A10,TABLA1!$A$14:$BF$100,43,FALSE),VLOOKUP($A10,TABLA1!$A$14:$BF$100,42,FALSE),VLOOKUP($A10,TABLA1!$A$14:$BF$100,58,FALSE),VLOOKUP($A10,TABLA1!$A$14:$BF$100,20,FALSE)),TCurva(G10,VLOOKUP($A10,TABLA1!$A$14:$BF$100,41+4,FALSE),VLOOKUP($A10,TABLA1!$A$14:$BF$100,43+4,FALSE),VLOOKUP($A10,TABLA1!$A$14:$BF$100,42+4,FALSE),VLOOKUP($A10,TABLA1!$A$14:$BF$100,58,FALSE),VLOOKUP($A10,TABLA1!$A$14:$BF$100,20,FALSE)),TCurva(G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F10" s="47" t="e">
        <f>IF(E10=999,"-",E10)</f>
        <v>#VALUE!</v>
      </c>
      <c r="G10" s="46" t="e">
        <f>IF(INDEX('Resultados CC'!$A$1:Q99997,MATCH(D10,'Resultados CC'!$Q$1:$Q$99999,0),8)=-1,-1*INDEX('Resultados CC'!$A$1:$Q$99999,MATCH(D10,'Resultados CC'!$Q$1:$Q$99999,0),12),INDEX('Resultados CC'!$A$1:$Q$99999,MATCH(D10,'Resultados CC'!$Q$1:$Q$99999,0),12))</f>
        <v>#N/A</v>
      </c>
      <c r="H10" s="48" t="e">
        <f>MIN(TCurva(MAX(J10:K10),VLOOKUP($A10,TABLA1!$A$14:$BF$100,29,FALSE),VLOOKUP($A10,TABLA1!$A$14:$BF$100,31,FALSE),VLOOKUP($A10,TABLA1!$A$14:$BF$100,30,FALSE),VLOOKUP($A10,TABLA1!$A$14:$BF$100,58,FALSE),VLOOKUP($A10,TABLA1!$A$14:$BF$100,11,FALSE)),TCurva(MAX(J10:K10),VLOOKUP($A10,TABLA1!$A$14:$BF$100,29+4,FALSE),VLOOKUP($A10,TABLA1!$A$14:$BF$100,31+4,FALSE),VLOOKUP($A10,TABLA1!$A$14:$BF$100,30+4,FALSE),VLOOKUP($A10,TABLA1!$A$14:$BF$100,58,FALSE),VLOOKUP($A10,TABLA1!$A$14:$BF$100,11+3,FALSE)),TCurva(MAX(J10:K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I10" s="47" t="e">
        <f>IF(H10=999,"-",H10)</f>
        <v>#VALUE!</v>
      </c>
      <c r="J10" s="46" t="e">
        <f>IF(INDEX('Resultados CC'!$A$1:Q99997,MATCH(D10,'Resultados CC'!$Q$1:$Q$99999,0),8)=-1,-1*INDEX('Resultados CC'!$A$1:$Q$99999,MATCH(D10,'Resultados CC'!$Q$1:$Q$99999,0),10),INDEX('Resultados CC'!$A$1:$Q$99999,MATCH(D10,'Resultados CC'!$Q$1:$Q$99999,0),10))</f>
        <v>#N/A</v>
      </c>
      <c r="K10" s="46" t="e">
        <f>IF(INDEX('Resultados CC'!$A$1:Q99997,MATCH(D10,'Resultados CC'!$Q$1:$Q$99999,0),8)=-1,-1*INDEX('Resultados CC'!$A$1:$Q$99999,MATCH(D10,'Resultados CC'!$Q$1:$Q$99999,0),11),INDEX('Resultados CC'!$A$1:$Q$99999,MATCH(D10,'Resultados CC'!$Q$1:$Q$99999,0),11))</f>
        <v>#N/A</v>
      </c>
      <c r="L10" s="31"/>
      <c r="M10" s="31" t="str">
        <f>$B$1&amp;$B$2&amp;$B$3&amp;M$1&amp;$B10&amp;VLOOKUP($A10,TABLA1!$A$14:$AY$3400,5,FALSE)&amp;IF(VLOOKUP($A10,TABLA1!$A$14:$AY$3400,3,FALSE)=VLOOKUP($A10,TABLA1!$A$14:$AY$3400,6,FALSE),0,1)</f>
        <v>L3-2LineBIFASICO_TIERRA598L2-21</v>
      </c>
      <c r="N10" s="48" t="e">
        <f>MIN(TCurva(P10,VLOOKUP($A10,TABLA1!$A$14:$BF$100,41,FALSE),VLOOKUP($A10,TABLA1!$A$14:$BF$100,43,FALSE),VLOOKUP($A10,TABLA1!$A$14:$BF$100,42,FALSE),VLOOKUP($A10,TABLA1!$A$14:$BF$100,58,FALSE),VLOOKUP($A10,TABLA1!$A$14:$BF$100,20,FALSE)),TCurva(P10,VLOOKUP($A10,TABLA1!$A$14:$BF$100,41+4,FALSE),VLOOKUP($A10,TABLA1!$A$14:$BF$100,43+4,FALSE),VLOOKUP($A10,TABLA1!$A$14:$BF$100,42+4,FALSE),VLOOKUP($A10,TABLA1!$A$14:$BF$100,58,FALSE),VLOOKUP($A10,TABLA1!$A$14:$BF$100,20,FALSE)),TCurva(P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O10" s="47" t="e">
        <f>IF(N10=999,"-",N10)</f>
        <v>#VALUE!</v>
      </c>
      <c r="P10" s="46" t="e">
        <f>IF(INDEX('Resultados CC'!$A$1:AA99997,MATCH(M10,'Resultados CC'!$Q$1:$Q$99999,0),8)=-1,-1*INDEX('Resultados CC'!$A$1:$Q$99999,MATCH(M10,'Resultados CC'!$Q$1:$Q$99999,0),12),INDEX('Resultados CC'!$A$1:$Q$99999,MATCH(M10,'Resultados CC'!$Q$1:$Q$99999,0),12))</f>
        <v>#N/A</v>
      </c>
      <c r="Q10" s="48" t="e">
        <f>MIN(TCurva(MAX(S10:T10),VLOOKUP($A10,TABLA1!$A$14:$BF$100,29,FALSE),VLOOKUP($A10,TABLA1!$A$14:$BF$100,31,FALSE),VLOOKUP($A10,TABLA1!$A$14:$BF$100,30,FALSE),VLOOKUP($A10,TABLA1!$A$14:$BF$100,58,FALSE),VLOOKUP($A10,TABLA1!$A$14:$BF$100,11,FALSE)),TCurva(MAX(S10:T10),VLOOKUP($A10,TABLA1!$A$14:$BF$100,29+4,FALSE),VLOOKUP($A10,TABLA1!$A$14:$BF$100,31+4,FALSE),VLOOKUP($A10,TABLA1!$A$14:$BF$100,30+4,FALSE),VLOOKUP($A10,TABLA1!$A$14:$BF$100,58,FALSE),VLOOKUP($A10,TABLA1!$A$14:$BF$100,11+3,FALSE)),TCurva(MAX(S10:T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R10" s="47" t="e">
        <f>IF(Q10=999,"-",Q10)</f>
        <v>#VALUE!</v>
      </c>
      <c r="S10" s="46" t="e">
        <f>IF(INDEX('Resultados CC'!$A$1:AA99997,MATCH(M10,'Resultados CC'!$Q$1:$Q$99999,0),8)=-1,-1*INDEX('Resultados CC'!$A$1:$Q$99999,MATCH(M10,'Resultados CC'!$Q$1:$Q$99999,0),10),INDEX('Resultados CC'!$A$1:$Q$99999,MATCH(M10,'Resultados CC'!$Q$1:$Q$99999,0),10))</f>
        <v>#N/A</v>
      </c>
      <c r="T10" s="46" t="e">
        <f>IF(INDEX('Resultados CC'!$A$1:AA99997,MATCH(M10,'Resultados CC'!$Q$1:$Q$99999,0),8)=-1,-1*INDEX('Resultados CC'!$A$1:$Q$99999,MATCH(M10,'Resultados CC'!$Q$1:$Q$99999,0),11),INDEX('Resultados CC'!$A$1:$Q$99999,MATCH(M10,'Resultados CC'!$Q$1:$Q$99999,0),11))</f>
        <v>#N/A</v>
      </c>
      <c r="U10" s="31"/>
      <c r="V10" s="31" t="str">
        <f>$B$1&amp;$B$2&amp;$B$3&amp;V$1&amp;$B10&amp;VLOOKUP($A10,TABLA1!$A$14:$AY$3400,5,FALSE)&amp;IF(VLOOKUP($A10,TABLA1!$A$14:$AY$3400,3,FALSE)=VLOOKUP($A10,TABLA1!$A$14:$AY$3400,6,FALSE),0,1)</f>
        <v>L3-2LineBIFASICO_TIERRA1098L2-21</v>
      </c>
      <c r="W10" s="48" t="e">
        <f>MIN(TCurva(Y10,VLOOKUP($A10,TABLA1!$A$14:$BF$100,41,FALSE),VLOOKUP($A10,TABLA1!$A$14:$BF$100,43,FALSE),VLOOKUP($A10,TABLA1!$A$14:$BF$100,42,FALSE),VLOOKUP($A10,TABLA1!$A$14:$BF$100,58,FALSE),VLOOKUP($A10,TABLA1!$A$14:$BF$100,20,FALSE)),TCurva(Y10,VLOOKUP($A10,TABLA1!$A$14:$BF$100,41+4,FALSE),VLOOKUP($A10,TABLA1!$A$14:$BF$100,43+4,FALSE),VLOOKUP($A10,TABLA1!$A$14:$BF$100,42+4,FALSE),VLOOKUP($A10,TABLA1!$A$14:$BF$100,58,FALSE),VLOOKUP($A10,TABLA1!$A$14:$BF$100,20,FALSE)),TCurva(Y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X10" s="47" t="e">
        <f>IF(W10=999,"-",W10)</f>
        <v>#VALUE!</v>
      </c>
      <c r="Y10" s="46" t="e">
        <f>IF(INDEX('Resultados CC'!$A$1:AK99997,MATCH(V10,'Resultados CC'!$Q$1:$Q$99999,0),8)=-1,-1*INDEX('Resultados CC'!$A$1:$Q$99999,MATCH(V10,'Resultados CC'!$Q$1:$Q$99999,0),12),INDEX('Resultados CC'!$A$1:$Q$99999,MATCH(V10,'Resultados CC'!$Q$1:$Q$99999,0),12))</f>
        <v>#N/A</v>
      </c>
      <c r="Z10" s="48" t="e">
        <f>MIN(TCurva(MAX(AB10:AC10),VLOOKUP($A10,TABLA1!$A$14:$BF$100,29,FALSE),VLOOKUP($A10,TABLA1!$A$14:$BF$100,31,FALSE),VLOOKUP($A10,TABLA1!$A$14:$BF$100,30,FALSE),VLOOKUP($A10,TABLA1!$A$14:$BF$100,58,FALSE),VLOOKUP($A10,TABLA1!$A$14:$BF$100,11,FALSE)),TCurva(MAX(AB10:AC10),VLOOKUP($A10,TABLA1!$A$14:$BF$100,29+4,FALSE),VLOOKUP($A10,TABLA1!$A$14:$BF$100,31+4,FALSE),VLOOKUP($A10,TABLA1!$A$14:$BF$100,30+4,FALSE),VLOOKUP($A10,TABLA1!$A$14:$BF$100,58,FALSE),VLOOKUP($A10,TABLA1!$A$14:$BF$100,11+3,FALSE)),TCurva(MAX(AB10:AC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AA10" s="47" t="e">
        <f>IF(Z10=999,"-",Z10)</f>
        <v>#VALUE!</v>
      </c>
      <c r="AB10" s="46" t="e">
        <f>IF(INDEX('Resultados CC'!$A$1:AK99997,MATCH(V10,'Resultados CC'!$Q$1:$Q$99999,0),8)=-1,-1*INDEX('Resultados CC'!$A$1:$Q$99999,MATCH(V10,'Resultados CC'!$Q$1:$Q$99999,0),10),INDEX('Resultados CC'!$A$1:$Q$99999,MATCH(V10,'Resultados CC'!$Q$1:$Q$99999,0),10))</f>
        <v>#N/A</v>
      </c>
      <c r="AC10" s="46" t="e">
        <f>IF(INDEX('Resultados CC'!$A$1:AK99997,MATCH(V10,'Resultados CC'!$Q$1:$Q$99999,0),8)=-1,-1*INDEX('Resultados CC'!$A$1:$Q$99999,MATCH(V10,'Resultados CC'!$Q$1:$Q$99999,0),11),INDEX('Resultados CC'!$A$1:$Q$99999,MATCH(V10,'Resultados CC'!$Q$1:$Q$99999,0),11))</f>
        <v>#N/A</v>
      </c>
      <c r="AD10" s="31"/>
      <c r="AE10" s="31" t="str">
        <f>$B$1&amp;$B$2&amp;$B$3&amp;AE$1&amp;$B10&amp;VLOOKUP($A10,TABLA1!$A$14:$AY$3400,5,FALSE)&amp;IF(VLOOKUP($A10,TABLA1!$A$14:$AY$3400,3,FALSE)=VLOOKUP($A10,TABLA1!$A$14:$AY$3400,6,FALSE),0,1)</f>
        <v>L3-2LineBIFASICO_TIERRA3098L2-21</v>
      </c>
      <c r="AF10" s="48" t="e">
        <f>MIN(TCurva(AH10,VLOOKUP($A10,TABLA1!$A$14:$BF$100,41,FALSE),VLOOKUP($A10,TABLA1!$A$14:$BF$100,43,FALSE),VLOOKUP($A10,TABLA1!$A$14:$BF$100,42,FALSE),VLOOKUP($A10,TABLA1!$A$14:$BF$100,58,FALSE),VLOOKUP($A10,TABLA1!$A$14:$BF$100,20,FALSE)),TCurva(AH10,VLOOKUP($A10,TABLA1!$A$14:$BF$100,41+4,FALSE),VLOOKUP($A10,TABLA1!$A$14:$BF$100,43+4,FALSE),VLOOKUP($A10,TABLA1!$A$14:$BF$100,42+4,FALSE),VLOOKUP($A10,TABLA1!$A$14:$BF$100,58,FALSE),VLOOKUP($A10,TABLA1!$A$14:$BF$100,20,FALSE)),TCurva(AH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AG10" s="47" t="e">
        <f>IF(AF10=999,"-",AF10)</f>
        <v>#VALUE!</v>
      </c>
      <c r="AH10" s="46" t="e">
        <f>IF(INDEX('Resultados CC'!$A$1:AU99997,MATCH(AE10,'Resultados CC'!$Q$1:$Q$99999,0),8)=-1,-1*INDEX('Resultados CC'!$A$1:$Q$99999,MATCH(AE10,'Resultados CC'!$Q$1:$Q$99999,0),12),INDEX('Resultados CC'!$A$1:$Q$99999,MATCH(AE10,'Resultados CC'!$Q$1:$Q$99999,0),12))</f>
        <v>#N/A</v>
      </c>
      <c r="AI10" s="48" t="e">
        <f>MIN(TCurva(MAX(AK10:AL10),VLOOKUP($A10,TABLA1!$A$14:$BF$100,29,FALSE),VLOOKUP($A10,TABLA1!$A$14:$BF$100,31,FALSE),VLOOKUP($A10,TABLA1!$A$14:$BF$100,30,FALSE),VLOOKUP($A10,TABLA1!$A$14:$BF$100,58,FALSE),VLOOKUP($A10,TABLA1!$A$14:$BF$100,11,FALSE)),TCurva(MAX(AK10:AL10),VLOOKUP($A10,TABLA1!$A$14:$BF$100,29+4,FALSE),VLOOKUP($A10,TABLA1!$A$14:$BF$100,31+4,FALSE),VLOOKUP($A10,TABLA1!$A$14:$BF$100,30+4,FALSE),VLOOKUP($A10,TABLA1!$A$14:$BF$100,58,FALSE),VLOOKUP($A10,TABLA1!$A$14:$BF$100,11+3,FALSE)),TCurva(MAX(AK10:AL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AJ10" s="47" t="e">
        <f>IF(AI10=999,"-",AI10)</f>
        <v>#VALUE!</v>
      </c>
      <c r="AK10" s="46" t="e">
        <f>IF(INDEX('Resultados CC'!$A$1:AU99997,MATCH(AE10,'Resultados CC'!$Q$1:$Q$99999,0),8)=-1,-1*INDEX('Resultados CC'!$A$1:$Q$99999,MATCH(AE10,'Resultados CC'!$Q$1:$Q$99999,0),10),INDEX('Resultados CC'!$A$1:$Q$99999,MATCH(AE10,'Resultados CC'!$Q$1:$Q$99999,0),10))</f>
        <v>#N/A</v>
      </c>
      <c r="AL10" s="46" t="e">
        <f>IF(INDEX('Resultados CC'!$A$1:AU99997,MATCH(AE10,'Resultados CC'!$Q$1:$Q$99999,0),8)=-1,-1*INDEX('Resultados CC'!$A$1:$Q$99999,MATCH(AE10,'Resultados CC'!$Q$1:$Q$99999,0),11),INDEX('Resultados CC'!$A$1:$Q$99999,MATCH(AE10,'Resultados CC'!$Q$1:$Q$99999,0),11))</f>
        <v>#N/A</v>
      </c>
      <c r="AM10" s="31"/>
    </row>
  </sheetData>
  <mergeCells count="11">
    <mergeCell ref="AE8:AE9"/>
    <mergeCell ref="B8:B9"/>
    <mergeCell ref="C8:C9"/>
    <mergeCell ref="D8:D9"/>
    <mergeCell ref="M8:M9"/>
    <mergeCell ref="V8:V9"/>
    <mergeCell ref="D7:L7"/>
    <mergeCell ref="D6:AM6"/>
    <mergeCell ref="M7:U7"/>
    <mergeCell ref="V7:AD7"/>
    <mergeCell ref="AE7:AM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1:AD10"/>
  <sheetViews>
    <sheetView topLeftCell="B5" workbookViewId="0">
      <selection sqref="A1:XFD1048576"/>
    </sheetView>
  </sheetViews>
  <sheetFormatPr baseColWidth="10" defaultRowHeight="15" x14ac:dyDescent="0.25"/>
  <cols>
    <col min="1" max="1" width="16.7109375" hidden="1" customWidth="1"/>
    <col min="2" max="2" width="16.7109375" customWidth="1"/>
    <col min="4" max="4" width="31.7109375" hidden="1" customWidth="1"/>
    <col min="5" max="6" width="9.42578125" hidden="1" customWidth="1"/>
    <col min="7" max="7" width="9" hidden="1" customWidth="1"/>
    <col min="8" max="8" width="8.7109375" hidden="1" customWidth="1"/>
    <col min="9" max="9" width="14.28515625" bestFit="1" customWidth="1"/>
    <col min="10" max="11" width="9" hidden="1" customWidth="1"/>
    <col min="12" max="12" width="14.7109375" customWidth="1"/>
    <col min="13" max="13" width="31.7109375" hidden="1" customWidth="1"/>
    <col min="14" max="14" width="8.7109375" hidden="1" customWidth="1"/>
    <col min="15" max="15" width="14.28515625" bestFit="1" customWidth="1"/>
    <col min="16" max="16" width="8.85546875" hidden="1" customWidth="1"/>
    <col min="17" max="17" width="9" hidden="1" customWidth="1"/>
    <col min="18" max="18" width="14.7109375" customWidth="1"/>
    <col min="19" max="19" width="32.7109375" hidden="1" customWidth="1"/>
    <col min="20" max="20" width="9" hidden="1" customWidth="1"/>
    <col min="21" max="21" width="14.28515625" bestFit="1" customWidth="1"/>
    <col min="22" max="23" width="9" hidden="1" customWidth="1"/>
    <col min="24" max="24" width="14.7109375" customWidth="1"/>
    <col min="25" max="25" width="32.7109375" hidden="1" customWidth="1"/>
    <col min="26" max="26" width="9.42578125" hidden="1" customWidth="1"/>
    <col min="27" max="27" width="14.28515625" bestFit="1" customWidth="1"/>
    <col min="28" max="29" width="7.7109375" hidden="1" customWidth="1"/>
    <col min="30" max="30" width="14.7109375" customWidth="1"/>
  </cols>
  <sheetData>
    <row r="1" spans="1:30" hidden="1" x14ac:dyDescent="0.25">
      <c r="A1" t="s">
        <v>58</v>
      </c>
      <c r="B1" s="26" t="s">
        <v>65</v>
      </c>
      <c r="D1" s="26">
        <f>'Resultados CC'!A3</f>
        <v>0</v>
      </c>
      <c r="M1" s="26">
        <f>'Resultados CC'!B3</f>
        <v>5</v>
      </c>
      <c r="S1" s="26">
        <f>'Resultados CC'!C3</f>
        <v>10</v>
      </c>
      <c r="Y1" s="26">
        <f>'Resultados CC'!D3</f>
        <v>30</v>
      </c>
    </row>
    <row r="2" spans="1:30" hidden="1" x14ac:dyDescent="0.25">
      <c r="A2" t="s">
        <v>74</v>
      </c>
      <c r="B2" s="26" t="s">
        <v>66</v>
      </c>
      <c r="I2" s="49"/>
    </row>
    <row r="3" spans="1:30" hidden="1" x14ac:dyDescent="0.25">
      <c r="A3" t="s">
        <v>59</v>
      </c>
      <c r="B3" s="26" t="s">
        <v>68</v>
      </c>
      <c r="I3" s="50"/>
    </row>
    <row r="4" spans="1:30" hidden="1" x14ac:dyDescent="0.25">
      <c r="I4" s="50"/>
    </row>
    <row r="5" spans="1:30" ht="15.75" thickBot="1" x14ac:dyDescent="0.3">
      <c r="I5" s="50"/>
    </row>
    <row r="6" spans="1:30" ht="19.5" thickBot="1" x14ac:dyDescent="0.35">
      <c r="D6" s="94" t="str">
        <f>"FALLA FASE - FASE EN LA LÍNEA "&amp;B1</f>
        <v>FALLA FASE - FASE EN LA LÍNEA L3-2</v>
      </c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6"/>
    </row>
    <row r="7" spans="1:30" x14ac:dyDescent="0.25">
      <c r="D7" s="130" t="str">
        <f>"impedancia de falla = "&amp;D1&amp;" Ohm"</f>
        <v>impedancia de falla = 0 Ohm</v>
      </c>
      <c r="E7" s="131"/>
      <c r="F7" s="131"/>
      <c r="G7" s="131"/>
      <c r="H7" s="131"/>
      <c r="I7" s="131"/>
      <c r="J7" s="131"/>
      <c r="K7" s="131"/>
      <c r="L7" s="132"/>
      <c r="M7" s="101" t="str">
        <f>"impedancia de falla = "&amp;M1&amp;" Ohm"</f>
        <v>impedancia de falla = 5 Ohm</v>
      </c>
      <c r="N7" s="102"/>
      <c r="O7" s="102"/>
      <c r="P7" s="102"/>
      <c r="Q7" s="102"/>
      <c r="R7" s="103"/>
      <c r="S7" s="104" t="str">
        <f>"impedancia de falla = "&amp;S1&amp;" Ohm"</f>
        <v>impedancia de falla = 10 Ohm</v>
      </c>
      <c r="T7" s="105"/>
      <c r="U7" s="105"/>
      <c r="V7" s="105"/>
      <c r="W7" s="105"/>
      <c r="X7" s="106"/>
      <c r="Y7" s="107" t="str">
        <f>"impedancia de falla = "&amp;Y1&amp;" Ohm"</f>
        <v>impedancia de falla = 30 Ohm</v>
      </c>
      <c r="Z7" s="108"/>
      <c r="AA7" s="108"/>
      <c r="AB7" s="108"/>
      <c r="AC7" s="108"/>
      <c r="AD7" s="109"/>
    </row>
    <row r="8" spans="1:30" x14ac:dyDescent="0.25">
      <c r="B8" s="127" t="s">
        <v>75</v>
      </c>
      <c r="C8" s="129" t="s">
        <v>84</v>
      </c>
      <c r="D8" s="112" t="s">
        <v>76</v>
      </c>
      <c r="E8" s="52" t="s">
        <v>80</v>
      </c>
      <c r="F8" s="52" t="s">
        <v>80</v>
      </c>
      <c r="G8" s="52" t="s">
        <v>77</v>
      </c>
      <c r="H8" s="52" t="s">
        <v>81</v>
      </c>
      <c r="I8" s="52" t="s">
        <v>83</v>
      </c>
      <c r="J8" s="52" t="s">
        <v>78</v>
      </c>
      <c r="K8" s="52" t="s">
        <v>79</v>
      </c>
      <c r="L8" s="32" t="s">
        <v>42</v>
      </c>
      <c r="M8" s="113" t="s">
        <v>76</v>
      </c>
      <c r="N8" s="29" t="s">
        <v>81</v>
      </c>
      <c r="O8" s="29" t="s">
        <v>83</v>
      </c>
      <c r="P8" s="29" t="s">
        <v>78</v>
      </c>
      <c r="Q8" s="29" t="s">
        <v>79</v>
      </c>
      <c r="R8" s="35" t="s">
        <v>42</v>
      </c>
      <c r="S8" s="115" t="s">
        <v>76</v>
      </c>
      <c r="T8" s="30" t="s">
        <v>81</v>
      </c>
      <c r="U8" s="30" t="s">
        <v>83</v>
      </c>
      <c r="V8" s="30" t="s">
        <v>78</v>
      </c>
      <c r="W8" s="30" t="s">
        <v>79</v>
      </c>
      <c r="X8" s="38" t="s">
        <v>42</v>
      </c>
      <c r="Y8" s="99" t="s">
        <v>76</v>
      </c>
      <c r="Z8" s="28" t="s">
        <v>81</v>
      </c>
      <c r="AA8" s="28" t="s">
        <v>83</v>
      </c>
      <c r="AB8" s="28" t="s">
        <v>78</v>
      </c>
      <c r="AC8" s="28" t="s">
        <v>79</v>
      </c>
      <c r="AD8" s="41" t="s">
        <v>42</v>
      </c>
    </row>
    <row r="9" spans="1:30" ht="15.75" thickBot="1" x14ac:dyDescent="0.3">
      <c r="B9" s="128"/>
      <c r="C9" s="129"/>
      <c r="D9" s="98"/>
      <c r="E9" s="33" t="s">
        <v>43</v>
      </c>
      <c r="F9" s="33" t="s">
        <v>43</v>
      </c>
      <c r="G9" s="33" t="s">
        <v>44</v>
      </c>
      <c r="H9" s="33" t="s">
        <v>43</v>
      </c>
      <c r="I9" s="33" t="s">
        <v>43</v>
      </c>
      <c r="J9" s="33" t="s">
        <v>44</v>
      </c>
      <c r="K9" s="33" t="s">
        <v>44</v>
      </c>
      <c r="L9" s="51" t="s">
        <v>45</v>
      </c>
      <c r="M9" s="114"/>
      <c r="N9" s="36" t="s">
        <v>43</v>
      </c>
      <c r="O9" s="36" t="s">
        <v>43</v>
      </c>
      <c r="P9" s="36" t="s">
        <v>44</v>
      </c>
      <c r="Q9" s="36" t="s">
        <v>44</v>
      </c>
      <c r="R9" s="37" t="s">
        <v>45</v>
      </c>
      <c r="S9" s="116"/>
      <c r="T9" s="39" t="s">
        <v>43</v>
      </c>
      <c r="U9" s="39" t="s">
        <v>43</v>
      </c>
      <c r="V9" s="39" t="s">
        <v>44</v>
      </c>
      <c r="W9" s="39" t="s">
        <v>44</v>
      </c>
      <c r="X9" s="40" t="s">
        <v>45</v>
      </c>
      <c r="Y9" s="100"/>
      <c r="Z9" s="42" t="s">
        <v>43</v>
      </c>
      <c r="AA9" s="42" t="s">
        <v>43</v>
      </c>
      <c r="AB9" s="42" t="s">
        <v>44</v>
      </c>
      <c r="AC9" s="42" t="s">
        <v>44</v>
      </c>
      <c r="AD9" s="43" t="s">
        <v>45</v>
      </c>
    </row>
    <row r="10" spans="1:30" x14ac:dyDescent="0.25">
      <c r="A10" s="44" t="s">
        <v>70</v>
      </c>
      <c r="B10" s="45">
        <v>98</v>
      </c>
      <c r="C10" s="24" t="str">
        <f>VLOOKUP(A10,TABLA1!$A$14:$B$99,2,FALSE)</f>
        <v>R2-2</v>
      </c>
      <c r="D10" s="31" t="str">
        <f>$B$1&amp;$B$2&amp;$B$3&amp;D$1&amp;$B10&amp;VLOOKUP($A10,TABLA1!$A$14:$AY$3400,5,FALSE)&amp;IF(VLOOKUP($A10,TABLA1!$A$14:$AY$3400,3,FALSE)=VLOOKUP($A10,TABLA1!$A$14:$AY$3400,6,FALSE),0,1)</f>
        <v>L3-2LineBIFASICO098L2-21</v>
      </c>
      <c r="E10" s="48" t="e">
        <f>MIN(TCurva(G10,VLOOKUP($A10,TABLA1!$A$14:$BF$100,41,FALSE),VLOOKUP($A10,TABLA1!$A$14:$BF$100,43,FALSE),VLOOKUP($A10,TABLA1!$A$14:$BF$100,42,FALSE),VLOOKUP($A10,TABLA1!$A$14:$BF$100,58,FALSE),VLOOKUP($A10,TABLA1!$A$14:$BF$100,20,FALSE)),TCurva(G10,VLOOKUP($A10,TABLA1!$A$14:$BF$100,41+4,FALSE),VLOOKUP($A10,TABLA1!$A$14:$BF$100,43+4,FALSE),VLOOKUP($A10,TABLA1!$A$14:$BF$100,42+4,FALSE),VLOOKUP($A10,TABLA1!$A$14:$BF$100,58,FALSE),VLOOKUP($A10,TABLA1!$A$14:$BF$100,20,FALSE)),TCurva(G10,VLOOKUP($A10,TABLA1!$A$14:$BF$100,41+8,FALSE),VLOOKUP($A10,TABLA1!$A$14:$BF$100,43+8,FALSE),VLOOKUP($A10,TABLA1!$A$14:$BF$100,42+8,FALSE),VLOOKUP($A10,TABLA1!$A$14:$BF$100,58,FALSE),VLOOKUP($A10,TABLA1!$A$14:$BF$100,20,FALSE)))</f>
        <v>#VALUE!</v>
      </c>
      <c r="F10" s="47" t="e">
        <f>IF(E10=999,"-",E10)</f>
        <v>#VALUE!</v>
      </c>
      <c r="G10" s="46" t="e">
        <f>IF(INDEX('Resultados CC'!$A$1:Q99997,MATCH(D10,'Resultados CC'!$Q$1:$Q$99999,0),8)=-1,-1*INDEX('Resultados CC'!$A$1:$Q$99999,MATCH(D10,'Resultados CC'!$Q$1:$Q$99999,0),12),INDEX('Resultados CC'!$A$1:$Q$99999,MATCH(D10,'Resultados CC'!$Q$1:$Q$99999,0),12))</f>
        <v>#N/A</v>
      </c>
      <c r="H10" s="48" t="e">
        <f>MIN(TCurva(MAX(J10:K10),VLOOKUP($A10,TABLA1!$A$14:$BF$100,29,FALSE),VLOOKUP($A10,TABLA1!$A$14:$BF$100,31,FALSE),VLOOKUP($A10,TABLA1!$A$14:$BF$100,30,FALSE),VLOOKUP($A10,TABLA1!$A$14:$BF$100,58,FALSE),VLOOKUP($A10,TABLA1!$A$14:$BF$100,11,FALSE)),TCurva(MAX(J10:K10),VLOOKUP($A10,TABLA1!$A$14:$BF$100,29+4,FALSE),VLOOKUP($A10,TABLA1!$A$14:$BF$100,31+4,FALSE),VLOOKUP($A10,TABLA1!$A$14:$BF$100,30+4,FALSE),VLOOKUP($A10,TABLA1!$A$14:$BF$100,58,FALSE),VLOOKUP($A10,TABLA1!$A$14:$BF$100,11+3,FALSE)),TCurva(MAX(J10:K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I10" s="47" t="e">
        <f>IF(H10=999,"-",H10)</f>
        <v>#VALUE!</v>
      </c>
      <c r="J10" s="46" t="e">
        <f>IF(INDEX('Resultados CC'!$A$1:Q99997,MATCH(D10,'Resultados CC'!$Q$1:$Q$99999,0),8)=-1,-1*INDEX('Resultados CC'!$A$1:$Q$99999,MATCH(D10,'Resultados CC'!$Q$1:$Q$99999,0),10),INDEX('Resultados CC'!$A$1:$Q$99999,MATCH(D10,'Resultados CC'!$Q$1:$Q$99999,0),10))</f>
        <v>#N/A</v>
      </c>
      <c r="K10" s="46" t="e">
        <f>IF(INDEX('Resultados CC'!$A$1:Q99997,MATCH(D10,'Resultados CC'!$Q$1:$Q$99999,0),8)=-1,-1*INDEX('Resultados CC'!$A$1:$Q$99999,MATCH(D10,'Resultados CC'!$Q$1:$Q$99999,0),11),INDEX('Resultados CC'!$A$1:$Q$99999,MATCH(D10,'Resultados CC'!$Q$1:$Q$99999,0),11))</f>
        <v>#N/A</v>
      </c>
      <c r="L10" s="31"/>
      <c r="M10" s="31" t="str">
        <f>$B$1&amp;$B$2&amp;$B$3&amp;M$1&amp;$B10&amp;VLOOKUP($A10,TABLA1!$A$14:$AY$3400,5,FALSE)&amp;IF(VLOOKUP($A10,TABLA1!$A$14:$AY$3400,3,FALSE)=VLOOKUP($A10,TABLA1!$A$14:$AY$3400,6,FALSE),0,1)</f>
        <v>L3-2LineBIFASICO598L2-21</v>
      </c>
      <c r="N10" s="48" t="e">
        <f>MIN(TCurva(MAX(P10:Q10),VLOOKUP($A10,TABLA1!$A$14:$BF$100,29,FALSE),VLOOKUP($A10,TABLA1!$A$14:$BF$100,31,FALSE),VLOOKUP($A10,TABLA1!$A$14:$BF$100,30,FALSE),VLOOKUP($A10,TABLA1!$A$14:$BF$100,58,FALSE),VLOOKUP($A10,TABLA1!$A$14:$BF$100,11,FALSE)),TCurva(MAX(P10:Q10),VLOOKUP($A10,TABLA1!$A$14:$BF$100,29+4,FALSE),VLOOKUP($A10,TABLA1!$A$14:$BF$100,31+4,FALSE),VLOOKUP($A10,TABLA1!$A$14:$BF$100,30+4,FALSE),VLOOKUP($A10,TABLA1!$A$14:$BF$100,58,FALSE),VLOOKUP($A10,TABLA1!$A$14:$BF$100,11+3,FALSE)),TCurva(MAX(P10:Q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O10" s="47" t="e">
        <f>IF(N10=999,"-",N10)</f>
        <v>#VALUE!</v>
      </c>
      <c r="P10" s="46" t="e">
        <f>IF(INDEX('Resultados CC'!$A$1:AA99997,MATCH(M10,'Resultados CC'!$Q$1:$Q$99999,0),8)=-1,-1*INDEX('Resultados CC'!$A$1:$Q$99999,MATCH(M10,'Resultados CC'!$Q$1:$Q$99999,0),10),INDEX('Resultados CC'!$A$1:$Q$99999,MATCH(M10,'Resultados CC'!$Q$1:$Q$99999,0),10))</f>
        <v>#N/A</v>
      </c>
      <c r="Q10" s="46" t="e">
        <f>IF(INDEX('Resultados CC'!$A$1:AA99997,MATCH(M10,'Resultados CC'!$Q$1:$Q$99999,0),8)=-1,-1*INDEX('Resultados CC'!$A$1:$Q$99999,MATCH(M10,'Resultados CC'!$Q$1:$Q$99999,0),11),INDEX('Resultados CC'!$A$1:$Q$99999,MATCH(M10,'Resultados CC'!$Q$1:$Q$99999,0),11))</f>
        <v>#N/A</v>
      </c>
      <c r="R10" s="31"/>
      <c r="S10" s="31" t="str">
        <f>$B$1&amp;$B$2&amp;$B$3&amp;S$1&amp;$B10&amp;VLOOKUP($A10,TABLA1!$A$14:$AY$3400,5,FALSE)&amp;IF(VLOOKUP($A10,TABLA1!$A$14:$AY$3400,3,FALSE)=VLOOKUP($A10,TABLA1!$A$14:$AY$3400,6,FALSE),0,1)</f>
        <v>L3-2LineBIFASICO1098L2-21</v>
      </c>
      <c r="T10" s="48" t="e">
        <f>MIN(TCurva(MAX(V10:W10),VLOOKUP($A10,TABLA1!$A$14:$BF$100,29,FALSE),VLOOKUP($A10,TABLA1!$A$14:$BF$100,31,FALSE),VLOOKUP($A10,TABLA1!$A$14:$BF$100,30,FALSE),VLOOKUP($A10,TABLA1!$A$14:$BF$100,58,FALSE),VLOOKUP($A10,TABLA1!$A$14:$BF$100,11,FALSE)),TCurva(MAX(V10:W10),VLOOKUP($A10,TABLA1!$A$14:$BF$100,29+4,FALSE),VLOOKUP($A10,TABLA1!$A$14:$BF$100,31+4,FALSE),VLOOKUP($A10,TABLA1!$A$14:$BF$100,30+4,FALSE),VLOOKUP($A10,TABLA1!$A$14:$BF$100,58,FALSE),VLOOKUP($A10,TABLA1!$A$14:$BF$100,11+3,FALSE)),TCurva(MAX(V10:W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U10" s="47" t="e">
        <f>IF(T10=999,"-",T10)</f>
        <v>#VALUE!</v>
      </c>
      <c r="V10" s="46" t="e">
        <f>IF(INDEX('Resultados CC'!$A$1:AK99997,MATCH(S10,'Resultados CC'!$Q$1:$Q$99999,0),8)=-1,-1*INDEX('Resultados CC'!$A$1:$Q$99999,MATCH(S10,'Resultados CC'!$Q$1:$Q$99999,0),10),INDEX('Resultados CC'!$A$1:$Q$99999,MATCH(S10,'Resultados CC'!$Q$1:$Q$99999,0),10))</f>
        <v>#N/A</v>
      </c>
      <c r="W10" s="46" t="e">
        <f>IF(INDEX('Resultados CC'!$A$1:AK99997,MATCH(S10,'Resultados CC'!$Q$1:$Q$99999,0),8)=-1,-1*INDEX('Resultados CC'!$A$1:$Q$99999,MATCH(S10,'Resultados CC'!$Q$1:$Q$99999,0),11),INDEX('Resultados CC'!$A$1:$Q$99999,MATCH(S10,'Resultados CC'!$Q$1:$Q$99999,0),11))</f>
        <v>#N/A</v>
      </c>
      <c r="X10" s="31"/>
      <c r="Y10" s="31" t="str">
        <f>$B$1&amp;$B$2&amp;$B$3&amp;Y$1&amp;$B10&amp;VLOOKUP($A10,TABLA1!$A$14:$AY$3400,5,FALSE)&amp;IF(VLOOKUP($A10,TABLA1!$A$14:$AY$3400,3,FALSE)=VLOOKUP($A10,TABLA1!$A$14:$AY$3400,6,FALSE),0,1)</f>
        <v>L3-2LineBIFASICO3098L2-21</v>
      </c>
      <c r="Z10" s="48" t="e">
        <f>MIN(TCurva(MAX(AB10:AC10),VLOOKUP($A10,TABLA1!$A$14:$BF$100,29,FALSE),VLOOKUP($A10,TABLA1!$A$14:$BF$100,31,FALSE),VLOOKUP($A10,TABLA1!$A$14:$BF$100,30,FALSE),VLOOKUP($A10,TABLA1!$A$14:$BF$100,58,FALSE),VLOOKUP($A10,TABLA1!$A$14:$BF$100,11,FALSE)),TCurva(MAX(AB10:AC10),VLOOKUP($A10,TABLA1!$A$14:$BF$100,29+4,FALSE),VLOOKUP($A10,TABLA1!$A$14:$BF$100,31+4,FALSE),VLOOKUP($A10,TABLA1!$A$14:$BF$100,30+4,FALSE),VLOOKUP($A10,TABLA1!$A$14:$BF$100,58,FALSE),VLOOKUP($A10,TABLA1!$A$14:$BF$100,11+3,FALSE)),TCurva(MAX(AB10:AC10),VLOOKUP($A10,TABLA1!$A$14:$BF$100,29+8,FALSE),VLOOKUP($A10,TABLA1!$A$14:$BF$100,31+8,FALSE),VLOOKUP($A10,TABLA1!$A$14:$BF$100,30+8,FALSE),VLOOKUP($A10,TABLA1!$A$14:$BF$100,58,FALSE),VLOOKUP($A10,TABLA1!$A$14:$BF$100,11+6,FALSE)))</f>
        <v>#VALUE!</v>
      </c>
      <c r="AA10" s="47" t="e">
        <f>IF(Z10=999,"-",Z10)</f>
        <v>#VALUE!</v>
      </c>
      <c r="AB10" s="46" t="e">
        <f>IF(INDEX('Resultados CC'!$A$1:AU99997,MATCH(Y10,'Resultados CC'!$Q$1:$Q$99999,0),8)=-1,-1*INDEX('Resultados CC'!$A$1:$Q$99999,MATCH(Y10,'Resultados CC'!$Q$1:$Q$99999,0),10),INDEX('Resultados CC'!$A$1:$Q$99999,MATCH(Y10,'Resultados CC'!$Q$1:$Q$99999,0),10))</f>
        <v>#N/A</v>
      </c>
      <c r="AC10" s="46" t="e">
        <f>IF(INDEX('Resultados CC'!$A$1:AU99997,MATCH(Y10,'Resultados CC'!$Q$1:$Q$99999,0),8)=-1,-1*INDEX('Resultados CC'!$A$1:$Q$99999,MATCH(Y10,'Resultados CC'!$Q$1:$Q$99999,0),11),INDEX('Resultados CC'!$A$1:$Q$99999,MATCH(Y10,'Resultados CC'!$Q$1:$Q$99999,0),11))</f>
        <v>#N/A</v>
      </c>
      <c r="AD10" s="31"/>
    </row>
  </sheetData>
  <mergeCells count="11">
    <mergeCell ref="Y8:Y9"/>
    <mergeCell ref="D6:AD6"/>
    <mergeCell ref="D7:L7"/>
    <mergeCell ref="M7:R7"/>
    <mergeCell ref="S7:X7"/>
    <mergeCell ref="Y7:AD7"/>
    <mergeCell ref="B8:B9"/>
    <mergeCell ref="C8:C9"/>
    <mergeCell ref="D8:D9"/>
    <mergeCell ref="M8:M9"/>
    <mergeCell ref="S8:S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Resultados CC</vt:lpstr>
      <vt:lpstr>macro_ajustes</vt:lpstr>
      <vt:lpstr>TABLA1</vt:lpstr>
      <vt:lpstr>TABLA2</vt:lpstr>
      <vt:lpstr>RESUMEN_AJUSTES1</vt:lpstr>
      <vt:lpstr>RESUMEN_AJUSTES2</vt:lpstr>
      <vt:lpstr>Base 3F</vt:lpstr>
      <vt:lpstr>Base 1F</vt:lpstr>
      <vt:lpstr>Base 2FT</vt:lpstr>
      <vt:lpstr>Base 2F</vt:lpstr>
      <vt:lpstr>RESUMEN_AJUSTES1!Títulos_a_imprimir</vt:lpstr>
      <vt:lpstr>RESUMEN_AJUSTES2!Títulos_a_imprimir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jose.vazques</dc:creator>
  <cp:lastModifiedBy>jose.vasquez</cp:lastModifiedBy>
  <dcterms:created xsi:type="dcterms:W3CDTF">2020-06-25T20:04:44Z</dcterms:created>
  <dcterms:modified xsi:type="dcterms:W3CDTF">2021-11-05T22:12:29Z</dcterms:modified>
</cp:coreProperties>
</file>